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Résumé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Paytable" sheetId="4" state="visible" r:id="rId4"/>
    <sheet xmlns:r="http://schemas.openxmlformats.org/officeDocument/2006/relationships" name="Lignes" sheetId="5" state="visible" r:id="rId5"/>
    <sheet xmlns:r="http://schemas.openxmlformats.org/officeDocument/2006/relationships" name="Poids" sheetId="6" state="visible" r:id="rId6"/>
    <sheet xmlns:r="http://schemas.openxmlformats.org/officeDocument/2006/relationships" name="Multis" sheetId="7" state="visible" r:id="rId7"/>
    <sheet xmlns:r="http://schemas.openxmlformats.org/officeDocument/2006/relationships" name="Calc_Gains" sheetId="8" state="visible" r:id="rId8"/>
    <sheet xmlns:r="http://schemas.openxmlformats.org/officeDocument/2006/relationships" name="Calc_Bonus" sheetId="9" state="visible" r:id="rId9"/>
    <sheet xmlns:r="http://schemas.openxmlformats.org/officeDocument/2006/relationships" name="Simulation" sheetId="10" state="visible" r:id="rId10"/>
  </sheets>
  <definedNames>
    <definedName name="NB_LIGNES">Config!$B$5</definedName>
    <definedName name="NB_ROULEAUX">Config!$B$6</definedName>
    <definedName name="MODE_GAIN">Config!$B$7</definedName>
    <definedName name="CASCADES">Config!$B$8</definedName>
    <definedName name="NB_PAYLINES">Config!$B$9</definedName>
    <definedName name="NB_WAYS">Config!$B$10</definedName>
    <definedName name="RTP_CIBLE">Config!$B$11</definedName>
    <definedName name="MAX_WIN">Config!$B$12</definedName>
    <definedName name="MODE_MULTI">Config!$B$13</definedName>
    <definedName name="MULTI_GLOBE">Config!$B$14</definedName>
    <definedName name="FS_PAR_BONUS">Config!$B$15</definedName>
    <definedName name="BOOST_COUT">Config!$B$16</definedName>
    <definedName name="SIM_SPINS">Config!$B$17</definedName>
    <definedName name="SIM_BOOST">Config!$B$18</definedName>
    <definedName name="SIM_BUY">Config!$B$19</definedName>
    <definedName name="SIM_SEED">Config!$B$20</definedName>
    <definedName name="BONUS">Config!$A$25:$E$27</definedName>
    <definedName name="PAYTABLE">Paytable!$A$4:$F$12</definedName>
    <definedName name="TAILLES_CLUSTER">Paytable!$C$16:$J$16</definedName>
    <definedName name="PAYTABLE_CLUSTER">Paytable!$C$18:$J$26</definedName>
    <definedName name="LIGNES">Lignes!$B$5:$F$54</definedName>
    <definedName name="POIDS_BASE">Poids!$A$5:$G$13</definedName>
    <definedName name="POIDS_BOOST">Poids!$A$19:$G$27</definedName>
    <definedName name="POIDS_FS1">Poids!$A$33:$G$41</definedName>
    <definedName name="POIDS_FS2">Poids!$A$47:$G$55</definedName>
    <definedName name="POIDS_FS3">Poids!$A$61:$G$69</definedName>
    <definedName name="MULTIS">Multis!$A$5:$E$13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00"/>
    <numFmt numFmtId="165" formatCode="0.00&quot;x&quot;"/>
    <numFmt numFmtId="166" formatCode="0.0000"/>
    <numFmt numFmtId="167" formatCode="0.0000%"/>
    <numFmt numFmtId="168" formatCode="0.000%"/>
    <numFmt numFmtId="169" formatCode="0.000000%"/>
    <numFmt numFmtId="170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F3B57"/>
      <sz val="14"/>
    </font>
    <font>
      <name val="Arial"/>
      <b val="1"/>
      <color rgb="001F3B57"/>
      <sz val="11"/>
    </font>
    <font>
      <name val="Arial"/>
      <sz val="10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FFF2CC"/>
      </patternFill>
    </fill>
    <fill>
      <patternFill patternType="solid">
        <fgColor rgb="00E7EEF5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10" fontId="8" fillId="0" borderId="1" applyAlignment="1" pivotButton="0" quotePrefix="0" xfId="0">
      <alignment horizontal="right"/>
    </xf>
    <xf numFmtId="0" fontId="4" fillId="0" borderId="1" pivotButton="0" quotePrefix="0" xfId="0"/>
    <xf numFmtId="2" fontId="8" fillId="0" borderId="1" applyAlignment="1" pivotButton="0" quotePrefix="0" xfId="0">
      <alignment horizontal="right"/>
    </xf>
    <xf numFmtId="0" fontId="8" fillId="0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0" fontId="2" fillId="0" borderId="0" pivotButton="0" quotePrefix="0" xfId="0"/>
    <xf numFmtId="0" fontId="7" fillId="0" borderId="1" pivotButton="0" quotePrefix="0" xfId="0"/>
    <xf numFmtId="10" fontId="7" fillId="5" borderId="1" applyAlignment="1" pivotButton="0" quotePrefix="0" xfId="0">
      <alignment horizontal="right"/>
    </xf>
    <xf numFmtId="0" fontId="7" fillId="5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1" fontId="8" fillId="0" borderId="1" applyAlignment="1" pivotButton="0" quotePrefix="0" xfId="0">
      <alignment horizontal="right"/>
    </xf>
    <xf numFmtId="3" fontId="6" fillId="3" borderId="1" pivotButton="0" quotePrefix="0" xfId="0"/>
    <xf numFmtId="3" fontId="3" fillId="0" borderId="1" pivotButton="0" quotePrefix="0" xfId="0"/>
    <xf numFmtId="0" fontId="6" fillId="3" borderId="1" pivotButton="0" quotePrefix="0" xfId="0"/>
    <xf numFmtId="10" fontId="6" fillId="3" borderId="1" pivotButton="0" quotePrefix="0" xfId="0"/>
    <xf numFmtId="165" fontId="6" fillId="3" borderId="1" pivotButton="0" quotePrefix="0" xfId="0"/>
    <xf numFmtId="2" fontId="6" fillId="3" borderId="1" pivotButton="0" quotePrefix="0" xfId="0"/>
    <xf numFmtId="165" fontId="3" fillId="0" borderId="1" pivotButton="0" quotePrefix="0" xfId="0"/>
    <xf numFmtId="3" fontId="6" fillId="3" borderId="1" applyAlignment="1" pivotButton="0" quotePrefix="0" xfId="0">
      <alignment horizontal="center" vertical="center"/>
    </xf>
    <xf numFmtId="0" fontId="8" fillId="0" borderId="1" pivotButton="0" quotePrefix="0" xfId="0"/>
    <xf numFmtId="3" fontId="7" fillId="0" borderId="1" applyAlignment="1" pivotButton="0" quotePrefix="0" xfId="0">
      <alignment horizontal="center" vertical="center"/>
    </xf>
    <xf numFmtId="10" fontId="3" fillId="0" borderId="1" pivotButton="0" quotePrefix="0" xfId="0"/>
    <xf numFmtId="0" fontId="7" fillId="4" borderId="1" pivotButton="0" quotePrefix="0" xfId="0"/>
    <xf numFmtId="3" fontId="7" fillId="4" borderId="1" pivotButton="0" quotePrefix="0" xfId="0"/>
    <xf numFmtId="10" fontId="7" fillId="4" borderId="1" pivotButton="0" quotePrefix="0" xfId="0"/>
    <xf numFmtId="0" fontId="3" fillId="4" borderId="1" pivotButton="0" quotePrefix="0" xfId="0"/>
    <xf numFmtId="165" fontId="7" fillId="4" borderId="1" pivotButton="0" quotePrefix="0" xfId="0"/>
    <xf numFmtId="10" fontId="8" fillId="0" borderId="1" pivotButton="0" quotePrefix="0" xfId="0"/>
    <xf numFmtId="166" fontId="3" fillId="0" borderId="1" pivotButton="0" quotePrefix="0" xfId="0"/>
    <xf numFmtId="166" fontId="7" fillId="4" borderId="1" pivotButton="0" quotePrefix="0" xfId="0"/>
    <xf numFmtId="167" fontId="8" fillId="0" borderId="1" pivotButton="0" quotePrefix="0" xfId="0"/>
    <xf numFmtId="3" fontId="7" fillId="0" borderId="1" pivotButton="0" quotePrefix="0" xfId="0"/>
    <xf numFmtId="167" fontId="3" fillId="0" borderId="1" pivotButton="0" quotePrefix="0" xfId="0"/>
    <xf numFmtId="2" fontId="7" fillId="0" borderId="1" pivotButton="0" quotePrefix="0" xfId="0"/>
    <xf numFmtId="0" fontId="5" fillId="2" borderId="1" pivotButton="0" quotePrefix="0" xfId="0"/>
    <xf numFmtId="168" fontId="3" fillId="0" borderId="1" pivotButton="0" quotePrefix="0" xfId="0"/>
    <xf numFmtId="2" fontId="3" fillId="0" borderId="1" pivotButton="0" quotePrefix="0" xfId="0"/>
    <xf numFmtId="164" fontId="3" fillId="0" borderId="1" pivotButton="0" quotePrefix="0" xfId="0"/>
    <xf numFmtId="169" fontId="3" fillId="0" borderId="1" pivotButton="0" quotePrefix="0" xfId="0"/>
    <xf numFmtId="170" fontId="3" fillId="0" borderId="1" pivotButton="0" quotePrefix="0" xfId="0"/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165" fontId="6" fillId="3" borderId="1" pivotButton="0" quotePrefix="0" xfId="0"/>
    <xf numFmtId="165" fontId="3" fillId="0" borderId="1" pivotButton="0" quotePrefix="0" xfId="0"/>
    <xf numFmtId="165" fontId="7" fillId="4" borderId="1" pivotButton="0" quotePrefix="0" xfId="0"/>
    <xf numFmtId="166" fontId="3" fillId="0" borderId="1" pivotButton="0" quotePrefix="0" xfId="0"/>
    <xf numFmtId="166" fontId="7" fillId="4" borderId="1" pivotButton="0" quotePrefix="0" xfId="0"/>
    <xf numFmtId="167" fontId="8" fillId="0" borderId="1" pivotButton="0" quotePrefix="0" xfId="0"/>
    <xf numFmtId="167" fontId="3" fillId="0" borderId="1" pivotButton="0" quotePrefix="0" xfId="0"/>
    <xf numFmtId="168" fontId="3" fillId="0" borderId="1" pivotButton="0" quotePrefix="0" xfId="0"/>
    <xf numFmtId="164" fontId="3" fillId="0" borderId="1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Modèle de maths : grille 5×5, clusters, globe à multiplicateurs, free spins</t>
        </is>
      </c>
    </row>
    <row r="3">
      <c r="A3" s="2" t="inlineStr">
        <is>
          <t>Le principe</t>
        </is>
      </c>
    </row>
    <row r="4">
      <c r="A4" s="3" t="inlineStr">
        <is>
          <t>• Grille 5 rouleaux × 5 lignes, gains en CLUSTERS : un groupe d'au moins 5 symboles identiques reliés horizontalement ou verticalement paie selon sa taille (paytable cluster).</t>
        </is>
      </c>
    </row>
    <row r="5">
      <c r="A5" s="3" t="inlineStr">
        <is>
          <t>• Cascades : les clusters gagnants explosent, les symboles au-dessus tombent et de nouveaux arrivent, jusqu'à ce qu'il n'y ait plus de gain (réglable dans Config).</t>
        </is>
      </c>
    </row>
    <row r="6">
      <c r="A6" s="3" t="inlineStr">
        <is>
          <t>• Globe : quand il arrive sur la grille (au départ ou pendant une cascade), les 8 cases autour de lui deviennent des multiplicateurs (valeurs dans l'onglet Multis). Le globe porte lui-même un multi (1x par défaut).</t>
        </is>
      </c>
    </row>
    <row r="7">
      <c r="A7" s="3" t="inlineStr">
        <is>
          <t>• 3 bonus (table dans Config) : 3 symboles bonus = bonus 1, 4 = bonus 2, 5 = bonus 3, le bonus caché (globe garanti à chaque free spin). Chaque bonus a ses propres poids (onglet Poids) et ses multis (onglet Multis). Pendant les FS, chaque symbole bonus donne +1 FS.</t>
        </is>
      </c>
    </row>
    <row r="8">
      <c r="A8" s="3" t="inlineStr">
        <is>
          <t>• Spins boostés : un spin plus cher (BOOST_COUT x la mise) avec plus de symboles bonus sur les rouleaux, donc des bonus plus fréquents. Bonus buy : achat direct d'un bonus au prix de la table.</t>
        </is>
      </c>
    </row>
    <row r="9">
      <c r="A9" s="3" t="inlineStr">
        <is>
          <t>• Symboles génériques (Premium 1-3, Moyen 1, Bas 1-3, Bonus, Globe) : la direction artistique se fait à part, les maths ne changent pas.</t>
        </is>
      </c>
    </row>
    <row r="10">
      <c r="A10" s="3" t="inlineStr"/>
    </row>
    <row r="11">
      <c r="A11" s="2" t="inlineStr">
        <is>
          <t>Règles des multiplicateurs (Config, alignées sur le math SDK de Stake Engine)</t>
        </is>
      </c>
    </row>
    <row r="12">
      <c r="A12" s="3" t="inlineStr">
        <is>
          <t>• WILD_ADD (par défaut) : les cases multi et le globe sont des wilds. Ils relient les symboles d'un cluster ; le multi du cluster est la somme des multis qu'il contient (globe 1x compris), 1 si aucun.</t>
        </is>
      </c>
    </row>
    <row r="13">
      <c r="A13" s="3" t="inlineStr">
        <is>
          <t>• GLOBAL_SUM : les multis ne sont pas wild ; la somme de tous les multis à l'écran multiplie chaque gain.</t>
        </is>
      </c>
    </row>
    <row r="14">
      <c r="A14" s="3" t="inlineStr">
        <is>
          <t>• Les symboles bonus et les autres globes ne sont pas remplacés par les multis. Au départ, au plus 1 symbole bonus par rouleau (comme sur les bandes du SDK).</t>
        </is>
      </c>
    </row>
    <row r="15">
      <c r="A15" s="3" t="inlineStr">
        <is>
          <t>• Les modes LINES et WAYS (paytable 3/4/5 ×, onglets Lignes et Calc_Gains) restent disponibles si tu veux tester un autre board.</t>
        </is>
      </c>
    </row>
    <row r="16">
      <c r="A16" s="3" t="inlineStr">
        <is>
          <t>• La paytable, les poids et les multis sont des valeurs de départ calées pour ~96 % de RTP, à ajuster à ton goût.</t>
        </is>
      </c>
    </row>
    <row r="17">
      <c r="A17" s="3" t="inlineStr"/>
    </row>
    <row r="18">
      <c r="A18" s="2" t="inlineStr">
        <is>
          <t>Comment l'utiliser</t>
        </is>
      </c>
    </row>
    <row r="19">
      <c r="A19" s="3" t="inlineStr">
        <is>
          <t>1. Config, Paytable, Poids, Multis : modifie uniquement les cellules en BLEU sur fond jaune. Tout le reste est calculé.</t>
        </is>
      </c>
    </row>
    <row r="20">
      <c r="A20" s="3" t="inlineStr">
        <is>
          <t>2. Calc_Bonus se met à jour en direct : fréquence de chaque bonus au départ (jeu de base et spins boostés), nombre moyen de FS avec retrigger, fréquence du globe.</t>
        </is>
      </c>
    </row>
    <row r="21">
      <c r="A21" s="3" t="inlineStr">
        <is>
          <t>3. Les clusters, cascades et multis ne se calculent pas en formule : lance le simulateur pour le RTP :  python simulateur.py modele_maths.xlsx</t>
        </is>
      </c>
    </row>
    <row r="22">
      <c r="A22" s="3" t="inlineStr">
        <is>
          <t xml:space="preserve">   Il lit les paramètres, joue des millions de spins et écrit les résultats dans l'onglet Simulation. L'onglet Résumé compare tout avec le RTP cible.</t>
        </is>
      </c>
    </row>
    <row r="23">
      <c r="A23" s="3" t="inlineStr">
        <is>
          <t>4. Ajuste les gains, poids et multis, relance le simulateur jusqu'à « OK » dans le Résumé, puis exporte vers le math SDK de Stake Engine (dossier stake_math).</t>
        </is>
      </c>
    </row>
    <row r="24">
      <c r="A24" s="3" t="inlineStr">
        <is>
          <t xml:space="preserve">   Pour ajouter un symbole payant : insère une ligne AU-DESSUS du symbole bonus dans les 2 tables de Paytable, dans les 5 blocs de Poids et dans les 2 blocs de Calc_Gains. Garde le même ordre partout.</t>
        </is>
      </c>
    </row>
    <row r="25">
      <c r="A25" s="3" t="inlineStr"/>
    </row>
    <row r="26">
      <c r="A26" s="2" t="inlineStr">
        <is>
          <t>Code couleur</t>
        </is>
      </c>
    </row>
    <row r="27">
      <c r="A27" s="3" t="inlineStr">
        <is>
          <t>Bleu sur fond jaune = saisie  ·  Noir = formule  ·  Vert = lien vers un autre onglet  ·  Fond jaune vif = résultat clé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30" customWidth="1" min="2" max="2"/>
    <col width="22" customWidth="1" min="3" max="3"/>
    <col width="36" customWidth="1" min="4" max="4"/>
  </cols>
  <sheetData>
    <row r="1">
      <c r="A1" s="1" t="inlineStr">
        <is>
          <t>Résumé du modèle</t>
        </is>
      </c>
    </row>
    <row r="2">
      <c r="A2" s="4" t="inlineStr">
        <is>
          <t>Analytique = en direct. Simulation = dernière exécution de simulateur.py.</t>
        </is>
      </c>
    </row>
    <row r="4">
      <c r="A4" s="5" t="inlineStr">
        <is>
          <t>Indicateur</t>
        </is>
      </c>
      <c r="B4" s="5" t="inlineStr">
        <is>
          <t>Jeu de base</t>
        </is>
      </c>
      <c r="C4" s="5" t="inlineStr">
        <is>
          <t>Spins boostés</t>
        </is>
      </c>
      <c r="D4" s="5" t="inlineStr">
        <is>
          <t>Source</t>
        </is>
      </c>
    </row>
    <row r="5">
      <c r="A5" s="6" t="inlineStr">
        <is>
          <t>RTP cible</t>
        </is>
      </c>
      <c r="B5" s="7">
        <f>RTP_CIBLE</f>
        <v/>
      </c>
      <c r="C5" s="7">
        <f>RTP_CIBLE</f>
        <v/>
      </c>
      <c r="D5" s="8" t="inlineStr">
        <is>
          <t>Config</t>
        </is>
      </c>
    </row>
    <row r="6">
      <c r="A6" s="6" t="inlineStr">
        <is>
          <t>Prix d'un spin (x mise)</t>
        </is>
      </c>
      <c r="B6" s="9">
        <f>1</f>
        <v/>
      </c>
      <c r="C6" s="9">
        <f>BOOST_COUT</f>
        <v/>
      </c>
      <c r="D6" s="8" t="inlineStr">
        <is>
          <t>Config</t>
        </is>
      </c>
    </row>
    <row r="7">
      <c r="A7" s="6" t="inlineStr">
        <is>
          <t>Mode de gain</t>
        </is>
      </c>
      <c r="B7" s="10">
        <f>MODE_GAIN</f>
        <v/>
      </c>
      <c r="C7" s="6" t="inlineStr"/>
      <c r="D7" s="8" t="inlineStr">
        <is>
          <t>Config</t>
        </is>
      </c>
    </row>
    <row r="8">
      <c r="A8" s="6" t="inlineStr">
        <is>
          <t>Mode des multiplicateurs</t>
        </is>
      </c>
      <c r="B8" s="10">
        <f>MODE_MULTI</f>
        <v/>
      </c>
      <c r="C8" s="6" t="inlineStr"/>
      <c r="D8" s="8" t="inlineStr">
        <is>
          <t>Config</t>
        </is>
      </c>
    </row>
    <row r="9">
      <c r="A9" s="6" t="inlineStr">
        <is>
          <t>Max win (x mise)</t>
        </is>
      </c>
      <c r="B9" s="11">
        <f>MAX_WIN</f>
        <v/>
      </c>
      <c r="C9" s="6" t="inlineStr"/>
      <c r="D9" s="8" t="inlineStr">
        <is>
          <t>Config</t>
        </is>
      </c>
    </row>
    <row r="11">
      <c r="A11" s="12" t="inlineStr">
        <is>
          <t>ANALYTIQUE (grille de départ, sans cascades)</t>
        </is>
      </c>
    </row>
    <row r="12">
      <c r="A12" s="6">
        <f>"Bonus 1 ("&amp;Config!A25&amp;") : 1 spin sur"</f>
        <v/>
      </c>
      <c r="B12" s="11">
        <f>Calc_Bonus!B27</f>
        <v/>
      </c>
      <c r="C12" s="11">
        <f>Calc_Bonus!C27</f>
        <v/>
      </c>
      <c r="D12" s="8" t="inlineStr">
        <is>
          <t>Calc_Bonus</t>
        </is>
      </c>
    </row>
    <row r="13">
      <c r="A13" s="6">
        <f>"Bonus 2 ("&amp;Config!A26&amp;") : 1 spin sur"</f>
        <v/>
      </c>
      <c r="B13" s="11">
        <f>Calc_Bonus!B28</f>
        <v/>
      </c>
      <c r="C13" s="11">
        <f>Calc_Bonus!C28</f>
        <v/>
      </c>
      <c r="D13" s="8" t="inlineStr">
        <is>
          <t>Calc_Bonus</t>
        </is>
      </c>
    </row>
    <row r="14">
      <c r="A14" s="6">
        <f>"Bonus 3 ("&amp;Config!A27&amp;") : 1 spin sur"</f>
        <v/>
      </c>
      <c r="B14" s="11">
        <f>Calc_Bonus!B29</f>
        <v/>
      </c>
      <c r="C14" s="11">
        <f>Calc_Bonus!C29</f>
        <v/>
      </c>
      <c r="D14" s="8" t="inlineStr">
        <is>
          <t>Calc_Bonus</t>
        </is>
      </c>
    </row>
    <row r="15">
      <c r="A15" s="6" t="inlineStr">
        <is>
          <t>Tous les bonus : 1 spin sur</t>
        </is>
      </c>
      <c r="B15" s="11">
        <f>Calc_Bonus!B30</f>
        <v/>
      </c>
      <c r="C15" s="11">
        <f>Calc_Bonus!C30</f>
        <v/>
      </c>
      <c r="D15" s="8" t="inlineStr">
        <is>
          <t>Calc_Bonus</t>
        </is>
      </c>
    </row>
    <row r="16">
      <c r="A16" s="6" t="inlineStr">
        <is>
          <t>Spins avec au moins 1 globe</t>
        </is>
      </c>
      <c r="B16" s="7">
        <f>Calc_Bonus!C34</f>
        <v/>
      </c>
      <c r="C16" s="7">
        <f>Calc_Bonus!C35</f>
        <v/>
      </c>
      <c r="D16" s="8" t="inlineStr">
        <is>
          <t>Calc_Bonus</t>
        </is>
      </c>
    </row>
    <row r="17">
      <c r="A17" s="6" t="inlineStr">
        <is>
          <t>RTP jeu de base hors globe (LINES / WAYS)</t>
        </is>
      </c>
      <c r="B17" s="7">
        <f>IF(MODE_GAIN="CLUSTER","voir simulation",Calc_Gains!K12)</f>
        <v/>
      </c>
      <c r="C17" s="6" t="inlineStr"/>
      <c r="D17" s="8" t="inlineStr">
        <is>
          <t>Calc_Gains</t>
        </is>
      </c>
    </row>
    <row r="19">
      <c r="A19" s="12" t="inlineStr">
        <is>
          <t>SIMULATION (globe, multis et cascades inclus)</t>
        </is>
      </c>
    </row>
    <row r="20">
      <c r="A20" s="6" t="inlineStr">
        <is>
          <t>RTP des spins (hors bonus)</t>
        </is>
      </c>
      <c r="B20" s="7">
        <f>Simulation!B8</f>
        <v/>
      </c>
      <c r="C20" s="7">
        <f>Simulation!C8</f>
        <v/>
      </c>
      <c r="D20" s="8" t="inlineStr">
        <is>
          <t>Simulation</t>
        </is>
      </c>
    </row>
    <row r="21">
      <c r="A21" s="6" t="inlineStr">
        <is>
          <t>RTP des bonus</t>
        </is>
      </c>
      <c r="B21" s="7">
        <f>Simulation!B9</f>
        <v/>
      </c>
      <c r="C21" s="7">
        <f>Simulation!C9</f>
        <v/>
      </c>
      <c r="D21" s="8" t="inlineStr">
        <is>
          <t>Simulation</t>
        </is>
      </c>
    </row>
    <row r="22">
      <c r="A22" s="13" t="inlineStr">
        <is>
          <t>RTP total</t>
        </is>
      </c>
      <c r="B22" s="14">
        <f>Simulation!B10</f>
        <v/>
      </c>
      <c r="C22" s="14">
        <f>Simulation!C10</f>
        <v/>
      </c>
      <c r="D22" s="8" t="inlineStr">
        <is>
          <t>Simulation</t>
        </is>
      </c>
    </row>
    <row r="23">
      <c r="A23" s="13" t="inlineStr">
        <is>
          <t>Statut</t>
        </is>
      </c>
      <c r="B23" s="15">
        <f>IF(NOT(ISNUMBER(Simulation!B10)),"Lance le simulateur",IF(ABS(Simulation!B10-RTP_CIBLE)&lt;=MAX(0.002,Simulation!B11),"OK","À ajuster"))</f>
        <v/>
      </c>
      <c r="C23" s="15">
        <f>IF(NOT(ISNUMBER(Simulation!C10)),"Lance le simulateur",IF(ABS(Simulation!C10-RTP_CIBLE)&lt;=MAX(0.002,Simulation!C11),"OK","À ajuster"))</f>
        <v/>
      </c>
      <c r="D23" s="8" t="inlineStr">
        <is>
          <t>Tolérance : max(0,2 %, marge d'erreur)</t>
        </is>
      </c>
    </row>
    <row r="24">
      <c r="A24" s="6" t="inlineStr">
        <is>
          <t>Hit frequency</t>
        </is>
      </c>
      <c r="B24" s="7">
        <f>Simulation!B12</f>
        <v/>
      </c>
      <c r="C24" s="7">
        <f>Simulation!C12</f>
        <v/>
      </c>
      <c r="D24" s="8" t="inlineStr">
        <is>
          <t>Simulation</t>
        </is>
      </c>
    </row>
    <row r="25">
      <c r="A25" s="6" t="inlineStr">
        <is>
          <t>Écart-type par tour (volatilité, x mise)</t>
        </is>
      </c>
      <c r="B25" s="9">
        <f>Simulation!B13</f>
        <v/>
      </c>
      <c r="C25" s="9">
        <f>Simulation!C13</f>
        <v/>
      </c>
      <c r="D25" s="8" t="inlineStr">
        <is>
          <t>Simulation</t>
        </is>
      </c>
    </row>
    <row r="26">
      <c r="A26" s="6" t="inlineStr">
        <is>
          <t>Tous les bonus : 1 spin sur (cascades comprises)</t>
        </is>
      </c>
      <c r="B26" s="11">
        <f>Simulation!B14</f>
        <v/>
      </c>
      <c r="C26" s="11">
        <f>Simulation!C14</f>
        <v/>
      </c>
      <c r="D26" s="8" t="inlineStr">
        <is>
          <t>Simulation</t>
        </is>
      </c>
    </row>
    <row r="27">
      <c r="A27" s="6">
        <f>"Bonus 1 : 1 spin sur / gain moyen"</f>
        <v/>
      </c>
      <c r="B27" s="10">
        <f>IF(ISNUMBER(Simulation!B15),TEXT(Simulation!B15,"# ##0")&amp;" / "&amp;TEXT(Simulation!B18,"0.0")&amp;"x","-")</f>
        <v/>
      </c>
      <c r="C27" s="10">
        <f>IF(ISNUMBER(Simulation!C15),TEXT(Simulation!C15,"# ##0")&amp;" / "&amp;TEXT(Simulation!C18,"0.0")&amp;"x","-")</f>
        <v/>
      </c>
      <c r="D27" s="8" t="inlineStr">
        <is>
          <t>Simulation</t>
        </is>
      </c>
    </row>
    <row r="28">
      <c r="A28" s="6">
        <f>"Bonus 2 : 1 spin sur / gain moyen"</f>
        <v/>
      </c>
      <c r="B28" s="10">
        <f>IF(ISNUMBER(Simulation!B16),TEXT(Simulation!B16,"# ##0")&amp;" / "&amp;TEXT(Simulation!B19,"0.0")&amp;"x","-")</f>
        <v/>
      </c>
      <c r="C28" s="10">
        <f>IF(ISNUMBER(Simulation!C16),TEXT(Simulation!C16,"# ##0")&amp;" / "&amp;TEXT(Simulation!C19,"0.0")&amp;"x","-")</f>
        <v/>
      </c>
      <c r="D28" s="8" t="inlineStr">
        <is>
          <t>Simulation</t>
        </is>
      </c>
    </row>
    <row r="29">
      <c r="A29" s="6">
        <f>"Bonus 3 : 1 spin sur / gain moyen"</f>
        <v/>
      </c>
      <c r="B29" s="10">
        <f>IF(ISNUMBER(Simulation!B17),TEXT(Simulation!B17,"# ##0")&amp;" / "&amp;TEXT(Simulation!B20,"0.0")&amp;"x","-")</f>
        <v/>
      </c>
      <c r="C29" s="10">
        <f>IF(ISNUMBER(Simulation!C17),TEXT(Simulation!C17,"# ##0")&amp;" / "&amp;TEXT(Simulation!C20,"0.0")&amp;"x","-")</f>
        <v/>
      </c>
      <c r="D29" s="8" t="inlineStr">
        <is>
          <t>Simulation</t>
        </is>
      </c>
    </row>
    <row r="30">
      <c r="A30" s="6" t="inlineStr">
        <is>
          <t>3 étoiles : etl40b (limite 0,9)</t>
        </is>
      </c>
      <c r="B30" s="48">
        <f>Simulation!B26</f>
        <v/>
      </c>
      <c r="C30" s="48">
        <f>Simulation!C26</f>
        <v/>
      </c>
      <c r="D30" s="8" t="inlineStr">
        <is>
          <t>Simulation</t>
        </is>
      </c>
    </row>
    <row r="31">
      <c r="A31" s="6" t="inlineStr">
        <is>
          <t>3 étoiles : etl10k (limite 0,8)</t>
        </is>
      </c>
      <c r="B31" s="48">
        <f>Simulation!B27</f>
        <v/>
      </c>
      <c r="C31" s="48">
        <f>Simulation!C27</f>
        <v/>
      </c>
      <c r="D31" s="8" t="inlineStr">
        <is>
          <t>Simulation</t>
        </is>
      </c>
    </row>
    <row r="32">
      <c r="A32" s="6" t="inlineStr">
        <is>
          <t>Max win observé (x mise)</t>
        </is>
      </c>
      <c r="B32" s="49">
        <f>Simulation!B24</f>
        <v/>
      </c>
      <c r="C32" s="49">
        <f>Simulation!C24</f>
        <v/>
      </c>
      <c r="D32" s="8" t="inlineStr">
        <is>
          <t>Simulation</t>
        </is>
      </c>
    </row>
    <row r="34">
      <c r="A34" s="12" t="inlineStr">
        <is>
          <t>BONUS BUY (chaque bonus joué directement)</t>
        </is>
      </c>
    </row>
    <row r="35">
      <c r="A35" s="6">
        <f>"Bonus 1 ("&amp;Config!A25&amp;") : prix / gain moyen / RTP"</f>
        <v/>
      </c>
      <c r="B35" s="10">
        <f>IF(ISNUMBER(Simulation!B42),TEXT(Simulation!B42,"0")&amp;"x / ","non achetable / ")&amp;IF(ISNUMBER(Simulation!B43),TEXT(Simulation!B43,"0.0")&amp;"x","-")&amp;IF(ISNUMBER(Simulation!B44)," / "&amp;TEXT(Simulation!B44,"0.00%"),"")</f>
        <v/>
      </c>
      <c r="C35" s="6" t="inlineStr"/>
      <c r="D35" s="8" t="inlineStr">
        <is>
          <t>Simulation</t>
        </is>
      </c>
    </row>
    <row r="36">
      <c r="A36" s="6">
        <f>"Bonus 1 : prix conseillé (gain moyen / RTP cible)"</f>
        <v/>
      </c>
      <c r="B36" s="18">
        <f>Simulation!B45</f>
        <v/>
      </c>
      <c r="C36" s="6" t="inlineStr"/>
      <c r="D36" s="8" t="inlineStr">
        <is>
          <t>Simulation</t>
        </is>
      </c>
    </row>
    <row r="37">
      <c r="A37" s="6">
        <f>"Bonus 2 ("&amp;Config!A26&amp;") : prix / gain moyen / RTP"</f>
        <v/>
      </c>
      <c r="B37" s="10">
        <f>IF(ISNUMBER(Simulation!C42),TEXT(Simulation!C42,"0")&amp;"x / ","non achetable / ")&amp;IF(ISNUMBER(Simulation!C43),TEXT(Simulation!C43,"0.0")&amp;"x","-")&amp;IF(ISNUMBER(Simulation!C44)," / "&amp;TEXT(Simulation!C44,"0.00%"),"")</f>
        <v/>
      </c>
      <c r="C37" s="6" t="inlineStr"/>
      <c r="D37" s="8" t="inlineStr">
        <is>
          <t>Simulation</t>
        </is>
      </c>
    </row>
    <row r="38">
      <c r="A38" s="6">
        <f>"Bonus 2 : prix conseillé (gain moyen / RTP cible)"</f>
        <v/>
      </c>
      <c r="B38" s="18">
        <f>Simulation!C45</f>
        <v/>
      </c>
      <c r="C38" s="6" t="inlineStr"/>
      <c r="D38" s="8" t="inlineStr">
        <is>
          <t>Simulation</t>
        </is>
      </c>
    </row>
    <row r="39">
      <c r="A39" s="6">
        <f>"Bonus 3 ("&amp;Config!A27&amp;") : prix / gain moyen / RTP"</f>
        <v/>
      </c>
      <c r="B39" s="10">
        <f>IF(ISNUMBER(Simulation!D42),TEXT(Simulation!D42,"0")&amp;"x / ","non achetable / ")&amp;IF(ISNUMBER(Simulation!D43),TEXT(Simulation!D43,"0.0")&amp;"x","-")&amp;IF(ISNUMBER(Simulation!D44)," / "&amp;TEXT(Simulation!D44,"0.00%"),"")</f>
        <v/>
      </c>
      <c r="C39" s="6" t="inlineStr"/>
      <c r="D39" s="8" t="inlineStr">
        <is>
          <t>Simulation</t>
        </is>
      </c>
    </row>
    <row r="40">
      <c r="A40" s="6">
        <f>"Bonus 3 : prix conseillé (gain moyen / RTP cible)"</f>
        <v/>
      </c>
      <c r="B40" s="18">
        <f>Simulation!D45</f>
        <v/>
      </c>
      <c r="C40" s="6" t="inlineStr"/>
      <c r="D40" s="8" t="inlineStr">
        <is>
          <t>Simulation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70" customWidth="1" min="6" max="6"/>
  </cols>
  <sheetData>
    <row r="1">
      <c r="A1" s="1" t="inlineStr">
        <is>
          <t>Paramètres généraux</t>
        </is>
      </c>
    </row>
    <row r="2">
      <c r="A2" s="4" t="inlineStr">
        <is>
          <t>Cellules bleues sur fond jaune = à modifier.</t>
        </is>
      </c>
    </row>
    <row r="4">
      <c r="A4" s="5" t="inlineStr">
        <is>
          <t>Paramètre</t>
        </is>
      </c>
      <c r="B4" s="5" t="inlineStr">
        <is>
          <t>Valeur</t>
        </is>
      </c>
      <c r="C4" s="5" t="inlineStr">
        <is>
          <t>Notes</t>
        </is>
      </c>
    </row>
    <row r="5">
      <c r="A5" s="6" t="inlineStr">
        <is>
          <t>Nombre de lignes (hauteur des rouleaux)</t>
        </is>
      </c>
      <c r="B5" s="19" t="n">
        <v>5</v>
      </c>
      <c r="C5" s="8" t="inlineStr">
        <is>
          <t>Le tableau binomial de Calc_Bonus va jusqu'à 5 lignes.</t>
        </is>
      </c>
    </row>
    <row r="6">
      <c r="A6" s="6" t="inlineStr">
        <is>
          <t>Nombre de rouleaux</t>
        </is>
      </c>
      <c r="B6" s="20" t="n">
        <v>5</v>
      </c>
      <c r="C6" s="8" t="inlineStr">
        <is>
          <t>Fixe : le modèle est construit pour 5 rouleaux.</t>
        </is>
      </c>
    </row>
    <row r="7">
      <c r="A7" s="6" t="inlineStr">
        <is>
          <t>Mode de gain</t>
        </is>
      </c>
      <c r="B7" s="21" t="inlineStr">
        <is>
          <t>CLUSTER</t>
        </is>
      </c>
      <c r="C7" s="8" t="inlineStr">
        <is>
          <t>CLUSTER = groupes reliés (paytable cluster) · LINES = lignes de l'onglet Lignes · WAYS = 5^5 ways.</t>
        </is>
      </c>
    </row>
    <row r="8">
      <c r="A8" s="6" t="inlineStr">
        <is>
          <t>Cascades (mode CLUSTER)</t>
        </is>
      </c>
      <c r="B8" s="21" t="inlineStr">
        <is>
          <t>OUI</t>
        </is>
      </c>
      <c r="C8" s="8" t="inlineStr">
        <is>
          <t>OUI = les clusters gagnants explosent et de nouveaux symboles tombent, jusqu'à ce qu'il n'y ait plus de gain.</t>
        </is>
      </c>
    </row>
    <row r="9">
      <c r="A9" s="6" t="inlineStr">
        <is>
          <t>Nombre de lignes de paiement</t>
        </is>
      </c>
      <c r="B9" s="20">
        <f>COUNT(Lignes!B5:B54)</f>
        <v/>
      </c>
      <c r="C9" s="8" t="inlineStr">
        <is>
          <t>Calculé depuis l'onglet Lignes (utilisé en mode LINES).</t>
        </is>
      </c>
    </row>
    <row r="10">
      <c r="A10" s="6" t="inlineStr">
        <is>
          <t>Lignes / ways / cases</t>
        </is>
      </c>
      <c r="B10" s="20">
        <f>IF(MODE_GAIN="WAYS",NB_LIGNES^NB_ROULEAUX,IF(MODE_GAIN="LINES",NB_PAYLINES,NB_LIGNES*NB_ROULEAUX))</f>
        <v/>
      </c>
      <c r="C10" s="8" t="inlineStr">
        <is>
          <t>Ways, lignes, ou nombre de cases (CLUSTER) selon le mode.</t>
        </is>
      </c>
    </row>
    <row r="11">
      <c r="A11" s="6" t="inlineStr">
        <is>
          <t>RTP cible</t>
        </is>
      </c>
      <c r="B11" s="22" t="n">
        <v>0.96</v>
      </c>
      <c r="C11" s="8" t="inlineStr">
        <is>
          <t>Sert aux contrôles et au prix conseillé du bonus buy.</t>
        </is>
      </c>
    </row>
    <row r="12">
      <c r="A12" s="6" t="inlineStr">
        <is>
          <t>Max win (x mise)</t>
        </is>
      </c>
      <c r="B12" s="19" t="n">
        <v>10000</v>
      </c>
      <c r="C12" s="8" t="inlineStr">
        <is>
          <t>Plafond par round (spin de base + son bonus). Entre 10 000 et 15 000 pour Stake.</t>
        </is>
      </c>
    </row>
    <row r="13">
      <c r="A13" s="6" t="inlineStr">
        <is>
          <t>Mode des multiplicateurs</t>
        </is>
      </c>
      <c r="B13" s="21" t="inlineStr">
        <is>
          <t>WILD_ADD</t>
        </is>
      </c>
      <c r="C13" s="8" t="inlineStr">
        <is>
          <t>WILD_ADD / WILD_MULT / GLOBAL_SUM (voir LISEZ-MOI).</t>
        </is>
      </c>
    </row>
    <row r="14">
      <c r="A14" s="6" t="inlineStr">
        <is>
          <t>Multi porté par le globe</t>
        </is>
      </c>
      <c r="B14" s="50" t="n">
        <v>1</v>
      </c>
      <c r="C14" s="8" t="inlineStr">
        <is>
          <t>Le globe affiche 1x sur la capture.</t>
        </is>
      </c>
    </row>
    <row r="15">
      <c r="A15" s="6" t="inlineStr">
        <is>
          <t>FS ajoutés par symbole bonus pendant les FS</t>
        </is>
      </c>
      <c r="B15" s="19" t="n">
        <v>1</v>
      </c>
      <c r="C15" s="8" t="inlineStr">
        <is>
          <t>Retrigger : +1 FS par symbole bonus, dans les 3 bonus.</t>
        </is>
      </c>
    </row>
    <row r="16">
      <c r="A16" s="6" t="inlineStr">
        <is>
          <t>Prix d'un spin boosté (x mise)</t>
        </is>
      </c>
      <c r="B16" s="24" t="n">
        <v>1.25</v>
      </c>
      <c r="C16" s="8" t="inlineStr">
        <is>
          <t>Spins boostés : bandes « SPINS BOOSTÉS » de l'onglet Poids (plus de symboles bonus).</t>
        </is>
      </c>
    </row>
    <row r="17">
      <c r="A17" s="6" t="inlineStr">
        <is>
          <t>Spins de base simulés</t>
        </is>
      </c>
      <c r="B17" s="19" t="n">
        <v>3000000</v>
      </c>
      <c r="C17" s="8" t="inlineStr">
        <is>
          <t>Plus c'est grand, plus le RTP simulé est précis.</t>
        </is>
      </c>
    </row>
    <row r="18">
      <c r="A18" s="6" t="inlineStr">
        <is>
          <t>Spins boostés simulés</t>
        </is>
      </c>
      <c r="B18" s="19" t="n">
        <v>1500000</v>
      </c>
      <c r="C18" s="8" t="inlineStr">
        <is>
          <t>0 = pas de simulation des spins boostés.</t>
        </is>
      </c>
    </row>
    <row r="19">
      <c r="A19" s="6" t="inlineStr">
        <is>
          <t>Tours simulés par bonus (comme un achat)</t>
        </is>
      </c>
      <c r="B19" s="19" t="n">
        <v>100000</v>
      </c>
      <c r="C19" s="8" t="inlineStr">
        <is>
          <t>Pour le prix des bonus buy et les stats de chaque bonus.</t>
        </is>
      </c>
    </row>
    <row r="20">
      <c r="A20" s="6" t="inlineStr">
        <is>
          <t>Graine aléatoire</t>
        </is>
      </c>
      <c r="B20" s="19" t="n">
        <v>12345</v>
      </c>
      <c r="C20" s="8" t="inlineStr">
        <is>
          <t>Même graine = mêmes résultats.</t>
        </is>
      </c>
    </row>
    <row r="23">
      <c r="A23" s="12" t="inlineStr">
        <is>
          <t>Les 3 bonus</t>
        </is>
      </c>
    </row>
    <row r="24">
      <c r="A24" s="5" t="inlineStr">
        <is>
          <t>Bonus 1, 2, 3 (nom libre)</t>
        </is>
      </c>
      <c r="B24" s="5" t="inlineStr">
        <is>
          <t>Symboles bonus</t>
        </is>
      </c>
      <c r="C24" s="5" t="inlineStr">
        <is>
          <t>FS donnés</t>
        </is>
      </c>
      <c r="D24" s="5" t="inlineStr">
        <is>
          <t>Globe garanti à chaque FS</t>
        </is>
      </c>
      <c r="E24" s="5" t="inlineStr">
        <is>
          <t>Prix d'achat (x mise)</t>
        </is>
      </c>
      <c r="F24" s="5" t="inlineStr">
        <is>
          <t>Notes</t>
        </is>
      </c>
    </row>
    <row r="25">
      <c r="A25" s="21" t="inlineStr">
        <is>
          <t>Free spins</t>
        </is>
      </c>
      <c r="B25" s="19" t="n">
        <v>3</v>
      </c>
      <c r="C25" s="19" t="n">
        <v>10</v>
      </c>
      <c r="D25" s="21" t="inlineStr">
        <is>
          <t>NON</t>
        </is>
      </c>
      <c r="E25" s="19" t="n">
        <v>59</v>
      </c>
      <c r="F25" s="8" t="inlineStr">
        <is>
          <t>Déclenché par 3 symboles bonus sur la grille finale (après cascades). Poids et multis : colonnes « Bonus 1 ».</t>
        </is>
      </c>
    </row>
    <row r="26">
      <c r="A26" s="21" t="inlineStr">
        <is>
          <t>Super free spins</t>
        </is>
      </c>
      <c r="B26" s="19" t="n">
        <v>4</v>
      </c>
      <c r="C26" s="19" t="n">
        <v>12</v>
      </c>
      <c r="D26" s="21" t="inlineStr">
        <is>
          <t>NON</t>
        </is>
      </c>
      <c r="E26" s="19" t="n">
        <v>160</v>
      </c>
      <c r="F26" s="8" t="inlineStr">
        <is>
          <t>4 symboles bonus. Plus de globes et des multis plus forts (Poids / Multis « Bonus 2 »).</t>
        </is>
      </c>
    </row>
    <row r="27">
      <c r="A27" s="21" t="inlineStr">
        <is>
          <t>Bonus caché</t>
        </is>
      </c>
      <c r="B27" s="19" t="n">
        <v>5</v>
      </c>
      <c r="C27" s="19" t="n">
        <v>5</v>
      </c>
      <c r="D27" s="21" t="inlineStr">
        <is>
          <t>OUI</t>
        </is>
      </c>
      <c r="E27" s="19" t="n"/>
      <c r="F27" s="8" t="inlineStr">
        <is>
          <t>5 symboles bonus ou plus : le bonus caché. Peu de FS, mais un globe garanti sur chaque FS. Prix vide = non achetable.</t>
        </is>
      </c>
    </row>
    <row r="28">
      <c r="A28" s="4" t="inlineStr">
        <is>
          <t>Le bonus déclenché est le plus fort dont le nombre de symboles bonus est atteint. Les nombres doivent être croissants (5 au plus : 1 symbole bonus maximum par rouleau au départ).</t>
        </is>
      </c>
    </row>
  </sheetData>
  <dataValidations count="4">
    <dataValidation sqref="B13" showDropDown="0" showInputMessage="0" showErrorMessage="0" allowBlank="0" type="list">
      <formula1>"WILD_ADD,WILD_MULT,GLOBAL_SUM"</formula1>
    </dataValidation>
    <dataValidation sqref="B8" showDropDown="0" showInputMessage="0" showErrorMessage="0" allowBlank="0" type="list">
      <formula1>"OUI,NON"</formula1>
    </dataValidation>
    <dataValidation sqref="B7" showDropDown="0" showInputMessage="0" showErrorMessage="0" allowBlank="0" type="list">
      <formula1>"CLUSTER,LINES,WAYS"</formula1>
    </dataValidation>
    <dataValidation sqref="D25:D27" showDropDown="0" showInputMessage="0" showErrorMessage="0" allowBlank="0" type="list">
      <formula1>"OUI,NON"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Tables de paiement (x mise totale)</t>
        </is>
      </c>
    </row>
    <row r="2">
      <c r="A2" s="4" t="inlineStr">
        <is>
          <t>Types : PAY = symbole payant · SCATTER = symbole bonus bonus · GLOBE = globe à multis. Le 1er PAY est le plus fort.</t>
        </is>
      </c>
    </row>
    <row r="3">
      <c r="A3" s="5" t="inlineStr">
        <is>
          <t>Code</t>
        </is>
      </c>
      <c r="B3" s="5" t="inlineStr">
        <is>
          <t>Symbole</t>
        </is>
      </c>
      <c r="C3" s="5" t="inlineStr">
        <is>
          <t>Type</t>
        </is>
      </c>
      <c r="D3" s="5" t="inlineStr">
        <is>
          <t>3 ×</t>
        </is>
      </c>
      <c r="E3" s="5" t="inlineStr">
        <is>
          <t>4 ×</t>
        </is>
      </c>
      <c r="F3" s="5" t="inlineStr">
        <is>
          <t>5 ×</t>
        </is>
      </c>
      <c r="G3" s="4" t="inlineStr">
        <is>
          <t>Notes (LINES / WAYS : gain par ligne ou par way)</t>
        </is>
      </c>
    </row>
    <row r="4">
      <c r="A4" s="21" t="inlineStr">
        <is>
          <t>H1</t>
        </is>
      </c>
      <c r="B4" s="21" t="inlineStr">
        <is>
          <t>Premium 1</t>
        </is>
      </c>
      <c r="C4" s="21" t="inlineStr">
        <is>
          <t>PAY</t>
        </is>
      </c>
      <c r="D4" s="50" t="n">
        <v>1.5</v>
      </c>
      <c r="E4" s="50" t="n">
        <v>5</v>
      </c>
      <c r="F4" s="50" t="n">
        <v>16</v>
      </c>
      <c r="G4" s="4" t="inlineStr"/>
    </row>
    <row r="5">
      <c r="A5" s="21" t="inlineStr">
        <is>
          <t>H2</t>
        </is>
      </c>
      <c r="B5" s="21" t="inlineStr">
        <is>
          <t>Premium 2</t>
        </is>
      </c>
      <c r="C5" s="21" t="inlineStr">
        <is>
          <t>PAY</t>
        </is>
      </c>
      <c r="D5" s="50" t="n">
        <v>1</v>
      </c>
      <c r="E5" s="50" t="n">
        <v>3.5</v>
      </c>
      <c r="F5" s="50" t="n">
        <v>8</v>
      </c>
      <c r="G5" s="4" t="inlineStr"/>
    </row>
    <row r="6">
      <c r="A6" s="21" t="inlineStr">
        <is>
          <t>H3</t>
        </is>
      </c>
      <c r="B6" s="21" t="inlineStr">
        <is>
          <t>Premium 3</t>
        </is>
      </c>
      <c r="C6" s="21" t="inlineStr">
        <is>
          <t>PAY</t>
        </is>
      </c>
      <c r="D6" s="50" t="n">
        <v>0.8</v>
      </c>
      <c r="E6" s="50" t="n">
        <v>2.2</v>
      </c>
      <c r="F6" s="50" t="n">
        <v>5.5</v>
      </c>
      <c r="G6" s="4" t="inlineStr"/>
    </row>
    <row r="7">
      <c r="A7" s="21" t="inlineStr">
        <is>
          <t>M1</t>
        </is>
      </c>
      <c r="B7" s="21" t="inlineStr">
        <is>
          <t>Moyen 1</t>
        </is>
      </c>
      <c r="C7" s="21" t="inlineStr">
        <is>
          <t>PAY</t>
        </is>
      </c>
      <c r="D7" s="50" t="n">
        <v>0.6</v>
      </c>
      <c r="E7" s="50" t="n">
        <v>1.4</v>
      </c>
      <c r="F7" s="50" t="n">
        <v>3.4</v>
      </c>
      <c r="G7" s="4" t="inlineStr"/>
    </row>
    <row r="8">
      <c r="A8" s="21" t="inlineStr">
        <is>
          <t>L1</t>
        </is>
      </c>
      <c r="B8" s="21" t="inlineStr">
        <is>
          <t>Bas 1</t>
        </is>
      </c>
      <c r="C8" s="21" t="inlineStr">
        <is>
          <t>PAY</t>
        </is>
      </c>
      <c r="D8" s="50" t="n">
        <v>0.3</v>
      </c>
      <c r="E8" s="50" t="n">
        <v>0.8</v>
      </c>
      <c r="F8" s="50" t="n">
        <v>2.2</v>
      </c>
      <c r="G8" s="4" t="inlineStr"/>
    </row>
    <row r="9">
      <c r="A9" s="21" t="inlineStr">
        <is>
          <t>L2</t>
        </is>
      </c>
      <c r="B9" s="21" t="inlineStr">
        <is>
          <t>Bas 2</t>
        </is>
      </c>
      <c r="C9" s="21" t="inlineStr">
        <is>
          <t>PAY</t>
        </is>
      </c>
      <c r="D9" s="50" t="n">
        <v>0.25</v>
      </c>
      <c r="E9" s="50" t="n">
        <v>0.7</v>
      </c>
      <c r="F9" s="50" t="n">
        <v>1.7</v>
      </c>
      <c r="G9" s="4" t="inlineStr"/>
    </row>
    <row r="10">
      <c r="A10" s="21" t="inlineStr">
        <is>
          <t>L3</t>
        </is>
      </c>
      <c r="B10" s="21" t="inlineStr">
        <is>
          <t>Bas 3</t>
        </is>
      </c>
      <c r="C10" s="21" t="inlineStr">
        <is>
          <t>PAY</t>
        </is>
      </c>
      <c r="D10" s="50" t="n">
        <v>0.2</v>
      </c>
      <c r="E10" s="50" t="n">
        <v>0.6</v>
      </c>
      <c r="F10" s="50" t="n">
        <v>1.4</v>
      </c>
      <c r="G10" s="4" t="inlineStr"/>
    </row>
    <row r="11">
      <c r="A11" s="21" t="inlineStr">
        <is>
          <t>BN</t>
        </is>
      </c>
      <c r="B11" s="21" t="inlineStr">
        <is>
          <t>Bonus (scatter)</t>
        </is>
      </c>
      <c r="C11" s="21" t="inlineStr">
        <is>
          <t>SCATTER</t>
        </is>
      </c>
      <c r="D11" s="51" t="n">
        <v>0</v>
      </c>
      <c r="E11" s="51" t="n">
        <v>0</v>
      </c>
      <c r="F11" s="51" t="n">
        <v>0</v>
      </c>
      <c r="G11" s="4" t="inlineStr">
        <is>
          <t>Ne paie pas : déclenche les FS, +1 FS par symbole bonus pendant les FS.</t>
        </is>
      </c>
    </row>
    <row r="12">
      <c r="A12" s="21" t="inlineStr">
        <is>
          <t>GL</t>
        </is>
      </c>
      <c r="B12" s="21" t="inlineStr">
        <is>
          <t>Globe (spécial)</t>
        </is>
      </c>
      <c r="C12" s="21" t="inlineStr">
        <is>
          <t>GLOBE</t>
        </is>
      </c>
      <c r="D12" s="51" t="n">
        <v>0</v>
      </c>
      <c r="E12" s="51" t="n">
        <v>0</v>
      </c>
      <c r="F12" s="51" t="n">
        <v>0</v>
      </c>
      <c r="G12" s="4" t="inlineStr">
        <is>
          <t>Ne paie pas : fait apparaître des multis sur les 8 cases autour.</t>
        </is>
      </c>
    </row>
    <row r="15">
      <c r="A15" s="12" t="inlineStr">
        <is>
          <t>PAYTABLE CLUSTER (mode CLUSTER) : gain d'un cluster selon sa taille, x mise totale</t>
        </is>
      </c>
    </row>
    <row r="16">
      <c r="A16" s="13" t="inlineStr">
        <is>
          <t>Taille mini →</t>
        </is>
      </c>
      <c r="B16" s="8" t="inlineStr">
        <is>
          <t>Chaque colonne paie de sa taille jusqu'à la suivante − 1 ; la dernière jusqu'à 25.</t>
        </is>
      </c>
      <c r="C16" s="26" t="n">
        <v>5</v>
      </c>
      <c r="D16" s="26" t="n">
        <v>6</v>
      </c>
      <c r="E16" s="26" t="n">
        <v>7</v>
      </c>
      <c r="F16" s="26" t="n">
        <v>8</v>
      </c>
      <c r="G16" s="26" t="n">
        <v>9</v>
      </c>
      <c r="H16" s="26" t="n">
        <v>11</v>
      </c>
      <c r="I16" s="26" t="n">
        <v>13</v>
      </c>
      <c r="J16" s="26" t="n">
        <v>16</v>
      </c>
    </row>
    <row r="17">
      <c r="A17" s="5" t="inlineStr">
        <is>
          <t>Code</t>
        </is>
      </c>
      <c r="B17" s="5" t="inlineStr">
        <is>
          <t>Symbole</t>
        </is>
      </c>
      <c r="C17" s="5">
        <f>IF(C16="","",C16&amp;IF(D16="","+",IF(D16-1=C16,"","–"&amp;(D16-1))))</f>
        <v/>
      </c>
      <c r="D17" s="5">
        <f>IF(D16="","",D16&amp;IF(E16="","+",IF(E16-1=D16,"","–"&amp;(E16-1))))</f>
        <v/>
      </c>
      <c r="E17" s="5">
        <f>IF(E16="","",E16&amp;IF(F16="","+",IF(F16-1=E16,"","–"&amp;(F16-1))))</f>
        <v/>
      </c>
      <c r="F17" s="5">
        <f>IF(F16="","",F16&amp;IF(G16="","+",IF(G16-1=F16,"","–"&amp;(G16-1))))</f>
        <v/>
      </c>
      <c r="G17" s="5">
        <f>IF(G16="","",G16&amp;IF(H16="","+",IF(H16-1=G16,"","–"&amp;(H16-1))))</f>
        <v/>
      </c>
      <c r="H17" s="5">
        <f>IF(H16="","",H16&amp;IF(I16="","+",IF(I16-1=H16,"","–"&amp;(I16-1))))</f>
        <v/>
      </c>
      <c r="I17" s="5">
        <f>IF(I16="","",I16&amp;IF(J16="","+",IF(J16-1=I16,"","–"&amp;(J16-1))))</f>
        <v/>
      </c>
      <c r="J17" s="5">
        <f>J16&amp;"+"</f>
        <v/>
      </c>
    </row>
    <row r="18">
      <c r="A18" s="27">
        <f>A4</f>
        <v/>
      </c>
      <c r="B18" s="27">
        <f>B4</f>
        <v/>
      </c>
      <c r="C18" s="50" t="n">
        <v>2.5</v>
      </c>
      <c r="D18" s="50" t="n">
        <v>3.5</v>
      </c>
      <c r="E18" s="50" t="n">
        <v>5</v>
      </c>
      <c r="F18" s="50" t="n">
        <v>7</v>
      </c>
      <c r="G18" s="50" t="n">
        <v>12</v>
      </c>
      <c r="H18" s="50" t="n">
        <v>25</v>
      </c>
      <c r="I18" s="50" t="n">
        <v>60</v>
      </c>
      <c r="J18" s="50" t="n">
        <v>180</v>
      </c>
    </row>
    <row r="19">
      <c r="A19" s="27">
        <f>A5</f>
        <v/>
      </c>
      <c r="B19" s="27">
        <f>B5</f>
        <v/>
      </c>
      <c r="C19" s="50" t="n">
        <v>1.8</v>
      </c>
      <c r="D19" s="50" t="n">
        <v>2.5</v>
      </c>
      <c r="E19" s="50" t="n">
        <v>3.5</v>
      </c>
      <c r="F19" s="50" t="n">
        <v>5</v>
      </c>
      <c r="G19" s="50" t="n">
        <v>8</v>
      </c>
      <c r="H19" s="50" t="n">
        <v>18</v>
      </c>
      <c r="I19" s="50" t="n">
        <v>40</v>
      </c>
      <c r="J19" s="50" t="n">
        <v>120</v>
      </c>
    </row>
    <row r="20">
      <c r="A20" s="27">
        <f>A6</f>
        <v/>
      </c>
      <c r="B20" s="27">
        <f>B6</f>
        <v/>
      </c>
      <c r="C20" s="50" t="n">
        <v>1.2</v>
      </c>
      <c r="D20" s="50" t="n">
        <v>1.8</v>
      </c>
      <c r="E20" s="50" t="n">
        <v>2.5</v>
      </c>
      <c r="F20" s="50" t="n">
        <v>3.5</v>
      </c>
      <c r="G20" s="50" t="n">
        <v>6</v>
      </c>
      <c r="H20" s="50" t="n">
        <v>12</v>
      </c>
      <c r="I20" s="50" t="n">
        <v>30</v>
      </c>
      <c r="J20" s="50" t="n">
        <v>90</v>
      </c>
    </row>
    <row r="21">
      <c r="A21" s="27">
        <f>A7</f>
        <v/>
      </c>
      <c r="B21" s="27">
        <f>B7</f>
        <v/>
      </c>
      <c r="C21" s="50" t="n">
        <v>1</v>
      </c>
      <c r="D21" s="50" t="n">
        <v>1.2</v>
      </c>
      <c r="E21" s="50" t="n">
        <v>1.8</v>
      </c>
      <c r="F21" s="50" t="n">
        <v>2.5</v>
      </c>
      <c r="G21" s="50" t="n">
        <v>5</v>
      </c>
      <c r="H21" s="50" t="n">
        <v>10</v>
      </c>
      <c r="I21" s="50" t="n">
        <v>25</v>
      </c>
      <c r="J21" s="50" t="n">
        <v>60</v>
      </c>
    </row>
    <row r="22">
      <c r="A22" s="27">
        <f>A8</f>
        <v/>
      </c>
      <c r="B22" s="27">
        <f>B8</f>
        <v/>
      </c>
      <c r="C22" s="50" t="n">
        <v>0.6</v>
      </c>
      <c r="D22" s="50" t="n">
        <v>0.8</v>
      </c>
      <c r="E22" s="50" t="n">
        <v>1.2</v>
      </c>
      <c r="F22" s="50" t="n">
        <v>1.8</v>
      </c>
      <c r="G22" s="50" t="n">
        <v>3.5</v>
      </c>
      <c r="H22" s="50" t="n">
        <v>7</v>
      </c>
      <c r="I22" s="50" t="n">
        <v>18</v>
      </c>
      <c r="J22" s="50" t="n">
        <v>50</v>
      </c>
    </row>
    <row r="23">
      <c r="A23" s="27">
        <f>A9</f>
        <v/>
      </c>
      <c r="B23" s="27">
        <f>B9</f>
        <v/>
      </c>
      <c r="C23" s="50" t="n">
        <v>0.5</v>
      </c>
      <c r="D23" s="50" t="n">
        <v>0.7</v>
      </c>
      <c r="E23" s="50" t="n">
        <v>1</v>
      </c>
      <c r="F23" s="50" t="n">
        <v>1.5</v>
      </c>
      <c r="G23" s="50" t="n">
        <v>3</v>
      </c>
      <c r="H23" s="50" t="n">
        <v>6</v>
      </c>
      <c r="I23" s="50" t="n">
        <v>15</v>
      </c>
      <c r="J23" s="50" t="n">
        <v>35</v>
      </c>
    </row>
    <row r="24">
      <c r="A24" s="27">
        <f>A10</f>
        <v/>
      </c>
      <c r="B24" s="27">
        <f>B10</f>
        <v/>
      </c>
      <c r="C24" s="50" t="n">
        <v>0.4</v>
      </c>
      <c r="D24" s="50" t="n">
        <v>0.6</v>
      </c>
      <c r="E24" s="50" t="n">
        <v>0.8</v>
      </c>
      <c r="F24" s="50" t="n">
        <v>1.2</v>
      </c>
      <c r="G24" s="50" t="n">
        <v>2.5</v>
      </c>
      <c r="H24" s="50" t="n">
        <v>5</v>
      </c>
      <c r="I24" s="50" t="n">
        <v>12</v>
      </c>
      <c r="J24" s="50" t="n">
        <v>30</v>
      </c>
    </row>
    <row r="25">
      <c r="A25" s="27">
        <f>A11</f>
        <v/>
      </c>
      <c r="B25" s="27">
        <f>B11</f>
        <v/>
      </c>
      <c r="C25" s="51" t="n">
        <v>0</v>
      </c>
      <c r="D25" s="51" t="n">
        <v>0</v>
      </c>
      <c r="E25" s="51" t="n">
        <v>0</v>
      </c>
      <c r="F25" s="51" t="n">
        <v>0</v>
      </c>
      <c r="G25" s="51" t="n">
        <v>0</v>
      </c>
      <c r="H25" s="51" t="n">
        <v>0</v>
      </c>
      <c r="I25" s="51" t="n">
        <v>0</v>
      </c>
      <c r="J25" s="51" t="n">
        <v>0</v>
      </c>
    </row>
    <row r="26">
      <c r="A26" s="27">
        <f>A12</f>
        <v/>
      </c>
      <c r="B26" s="27">
        <f>B12</f>
        <v/>
      </c>
      <c r="C26" s="51" t="n">
        <v>0</v>
      </c>
      <c r="D26" s="51" t="n">
        <v>0</v>
      </c>
      <c r="E26" s="51" t="n">
        <v>0</v>
      </c>
      <c r="F26" s="51" t="n">
        <v>0</v>
      </c>
      <c r="G26" s="51" t="n">
        <v>0</v>
      </c>
      <c r="H26" s="51" t="n">
        <v>0</v>
      </c>
      <c r="I26" s="51" t="n">
        <v>0</v>
      </c>
      <c r="J26" s="51" t="n">
        <v>0</v>
      </c>
    </row>
    <row r="28">
      <c r="A28" s="4" t="inlineStr">
        <is>
          <t>Le tableau du haut (3/4/5 ×) sert aux modes LINES et WAYS ; celui-ci au mode CLUSTER. Garde le même ordre de symboles partout.</t>
        </is>
      </c>
    </row>
  </sheetData>
  <dataValidations count="1">
    <dataValidation sqref="C4:C12" showDropDown="0" showInputMessage="0" showErrorMessage="0" allowBlank="0" type="list">
      <formula1>"PAY,SCATTER,GLOBE"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14" customWidth="1" min="7" max="7"/>
  </cols>
  <sheetData>
    <row r="1">
      <c r="A1" s="1" t="inlineStr">
        <is>
          <t>Lignes de paiement (mode LINES)</t>
        </is>
      </c>
    </row>
    <row r="2">
      <c r="A2" s="4" t="inlineStr">
        <is>
          <t>Pour chaque ligne : la rangée utilisée sur chaque rouleau (1 = en haut, 5 = en bas). Ligne vide = ignorée. Jusqu'à 50 lignes.</t>
        </is>
      </c>
    </row>
    <row r="4">
      <c r="A4" s="5" t="inlineStr">
        <is>
          <t>Ligne</t>
        </is>
      </c>
      <c r="B4" s="5" t="inlineStr">
        <is>
          <t>R1</t>
        </is>
      </c>
      <c r="C4" s="5" t="inlineStr">
        <is>
          <t>R2</t>
        </is>
      </c>
      <c r="D4" s="5" t="inlineStr">
        <is>
          <t>R3</t>
        </is>
      </c>
      <c r="E4" s="5" t="inlineStr">
        <is>
          <t>R4</t>
        </is>
      </c>
      <c r="F4" s="5" t="inlineStr">
        <is>
          <t>R5</t>
        </is>
      </c>
      <c r="G4" s="5" t="inlineStr">
        <is>
          <t>Aperçu</t>
        </is>
      </c>
    </row>
    <row r="5">
      <c r="A5" s="28" t="n">
        <v>1</v>
      </c>
      <c r="B5" s="26" t="n">
        <v>1</v>
      </c>
      <c r="C5" s="26" t="n">
        <v>1</v>
      </c>
      <c r="D5" s="26" t="n">
        <v>1</v>
      </c>
      <c r="E5" s="26" t="n">
        <v>1</v>
      </c>
      <c r="F5" s="26" t="n">
        <v>1</v>
      </c>
      <c r="G5" s="8">
        <f>IF(COUNT(B5:F5)&lt;5,"",B5&amp;"-"&amp;C5&amp;"-"&amp;D5&amp;"-"&amp;E5&amp;"-"&amp;F5)</f>
        <v/>
      </c>
    </row>
    <row r="6">
      <c r="A6" s="28" t="n">
        <v>2</v>
      </c>
      <c r="B6" s="26" t="n">
        <v>2</v>
      </c>
      <c r="C6" s="26" t="n">
        <v>2</v>
      </c>
      <c r="D6" s="26" t="n">
        <v>2</v>
      </c>
      <c r="E6" s="26" t="n">
        <v>2</v>
      </c>
      <c r="F6" s="26" t="n">
        <v>2</v>
      </c>
      <c r="G6" s="8">
        <f>IF(COUNT(B6:F6)&lt;5,"",B6&amp;"-"&amp;C6&amp;"-"&amp;D6&amp;"-"&amp;E6&amp;"-"&amp;F6)</f>
        <v/>
      </c>
    </row>
    <row r="7">
      <c r="A7" s="28" t="n">
        <v>3</v>
      </c>
      <c r="B7" s="26" t="n">
        <v>3</v>
      </c>
      <c r="C7" s="26" t="n">
        <v>3</v>
      </c>
      <c r="D7" s="26" t="n">
        <v>3</v>
      </c>
      <c r="E7" s="26" t="n">
        <v>3</v>
      </c>
      <c r="F7" s="26" t="n">
        <v>3</v>
      </c>
      <c r="G7" s="8">
        <f>IF(COUNT(B7:F7)&lt;5,"",B7&amp;"-"&amp;C7&amp;"-"&amp;D7&amp;"-"&amp;E7&amp;"-"&amp;F7)</f>
        <v/>
      </c>
    </row>
    <row r="8">
      <c r="A8" s="28" t="n">
        <v>4</v>
      </c>
      <c r="B8" s="26" t="n">
        <v>4</v>
      </c>
      <c r="C8" s="26" t="n">
        <v>4</v>
      </c>
      <c r="D8" s="26" t="n">
        <v>4</v>
      </c>
      <c r="E8" s="26" t="n">
        <v>4</v>
      </c>
      <c r="F8" s="26" t="n">
        <v>4</v>
      </c>
      <c r="G8" s="8">
        <f>IF(COUNT(B8:F8)&lt;5,"",B8&amp;"-"&amp;C8&amp;"-"&amp;D8&amp;"-"&amp;E8&amp;"-"&amp;F8)</f>
        <v/>
      </c>
    </row>
    <row r="9">
      <c r="A9" s="28" t="n">
        <v>5</v>
      </c>
      <c r="B9" s="26" t="n">
        <v>5</v>
      </c>
      <c r="C9" s="26" t="n">
        <v>5</v>
      </c>
      <c r="D9" s="26" t="n">
        <v>5</v>
      </c>
      <c r="E9" s="26" t="n">
        <v>5</v>
      </c>
      <c r="F9" s="26" t="n">
        <v>5</v>
      </c>
      <c r="G9" s="8">
        <f>IF(COUNT(B9:F9)&lt;5,"",B9&amp;"-"&amp;C9&amp;"-"&amp;D9&amp;"-"&amp;E9&amp;"-"&amp;F9)</f>
        <v/>
      </c>
    </row>
    <row r="10">
      <c r="A10" s="28" t="n">
        <v>6</v>
      </c>
      <c r="B10" s="26" t="n">
        <v>1</v>
      </c>
      <c r="C10" s="26" t="n">
        <v>2</v>
      </c>
      <c r="D10" s="26" t="n">
        <v>3</v>
      </c>
      <c r="E10" s="26" t="n">
        <v>2</v>
      </c>
      <c r="F10" s="26" t="n">
        <v>1</v>
      </c>
      <c r="G10" s="8">
        <f>IF(COUNT(B10:F10)&lt;5,"",B10&amp;"-"&amp;C10&amp;"-"&amp;D10&amp;"-"&amp;E10&amp;"-"&amp;F10)</f>
        <v/>
      </c>
    </row>
    <row r="11">
      <c r="A11" s="28" t="n">
        <v>7</v>
      </c>
      <c r="B11" s="26" t="n">
        <v>2</v>
      </c>
      <c r="C11" s="26" t="n">
        <v>3</v>
      </c>
      <c r="D11" s="26" t="n">
        <v>4</v>
      </c>
      <c r="E11" s="26" t="n">
        <v>3</v>
      </c>
      <c r="F11" s="26" t="n">
        <v>2</v>
      </c>
      <c r="G11" s="8">
        <f>IF(COUNT(B11:F11)&lt;5,"",B11&amp;"-"&amp;C11&amp;"-"&amp;D11&amp;"-"&amp;E11&amp;"-"&amp;F11)</f>
        <v/>
      </c>
    </row>
    <row r="12">
      <c r="A12" s="28" t="n">
        <v>8</v>
      </c>
      <c r="B12" s="26" t="n">
        <v>3</v>
      </c>
      <c r="C12" s="26" t="n">
        <v>4</v>
      </c>
      <c r="D12" s="26" t="n">
        <v>5</v>
      </c>
      <c r="E12" s="26" t="n">
        <v>4</v>
      </c>
      <c r="F12" s="26" t="n">
        <v>3</v>
      </c>
      <c r="G12" s="8">
        <f>IF(COUNT(B12:F12)&lt;5,"",B12&amp;"-"&amp;C12&amp;"-"&amp;D12&amp;"-"&amp;E12&amp;"-"&amp;F12)</f>
        <v/>
      </c>
    </row>
    <row r="13">
      <c r="A13" s="28" t="n">
        <v>9</v>
      </c>
      <c r="B13" s="26" t="n">
        <v>5</v>
      </c>
      <c r="C13" s="26" t="n">
        <v>4</v>
      </c>
      <c r="D13" s="26" t="n">
        <v>3</v>
      </c>
      <c r="E13" s="26" t="n">
        <v>4</v>
      </c>
      <c r="F13" s="26" t="n">
        <v>5</v>
      </c>
      <c r="G13" s="8">
        <f>IF(COUNT(B13:F13)&lt;5,"",B13&amp;"-"&amp;C13&amp;"-"&amp;D13&amp;"-"&amp;E13&amp;"-"&amp;F13)</f>
        <v/>
      </c>
    </row>
    <row r="14">
      <c r="A14" s="28" t="n">
        <v>10</v>
      </c>
      <c r="B14" s="26" t="n">
        <v>4</v>
      </c>
      <c r="C14" s="26" t="n">
        <v>3</v>
      </c>
      <c r="D14" s="26" t="n">
        <v>2</v>
      </c>
      <c r="E14" s="26" t="n">
        <v>3</v>
      </c>
      <c r="F14" s="26" t="n">
        <v>4</v>
      </c>
      <c r="G14" s="8">
        <f>IF(COUNT(B14:F14)&lt;5,"",B14&amp;"-"&amp;C14&amp;"-"&amp;D14&amp;"-"&amp;E14&amp;"-"&amp;F14)</f>
        <v/>
      </c>
    </row>
    <row r="15">
      <c r="A15" s="28" t="n">
        <v>11</v>
      </c>
      <c r="B15" s="26" t="n">
        <v>3</v>
      </c>
      <c r="C15" s="26" t="n">
        <v>2</v>
      </c>
      <c r="D15" s="26" t="n">
        <v>1</v>
      </c>
      <c r="E15" s="26" t="n">
        <v>2</v>
      </c>
      <c r="F15" s="26" t="n">
        <v>3</v>
      </c>
      <c r="G15" s="8">
        <f>IF(COUNT(B15:F15)&lt;5,"",B15&amp;"-"&amp;C15&amp;"-"&amp;D15&amp;"-"&amp;E15&amp;"-"&amp;F15)</f>
        <v/>
      </c>
    </row>
    <row r="16">
      <c r="A16" s="28" t="n">
        <v>12</v>
      </c>
      <c r="B16" s="26" t="n">
        <v>1</v>
      </c>
      <c r="C16" s="26" t="n">
        <v>2</v>
      </c>
      <c r="D16" s="26" t="n">
        <v>1</v>
      </c>
      <c r="E16" s="26" t="n">
        <v>2</v>
      </c>
      <c r="F16" s="26" t="n">
        <v>1</v>
      </c>
      <c r="G16" s="8">
        <f>IF(COUNT(B16:F16)&lt;5,"",B16&amp;"-"&amp;C16&amp;"-"&amp;D16&amp;"-"&amp;E16&amp;"-"&amp;F16)</f>
        <v/>
      </c>
    </row>
    <row r="17">
      <c r="A17" s="28" t="n">
        <v>13</v>
      </c>
      <c r="B17" s="26" t="n">
        <v>2</v>
      </c>
      <c r="C17" s="26" t="n">
        <v>3</v>
      </c>
      <c r="D17" s="26" t="n">
        <v>2</v>
      </c>
      <c r="E17" s="26" t="n">
        <v>3</v>
      </c>
      <c r="F17" s="26" t="n">
        <v>2</v>
      </c>
      <c r="G17" s="8">
        <f>IF(COUNT(B17:F17)&lt;5,"",B17&amp;"-"&amp;C17&amp;"-"&amp;D17&amp;"-"&amp;E17&amp;"-"&amp;F17)</f>
        <v/>
      </c>
    </row>
    <row r="18">
      <c r="A18" s="28" t="n">
        <v>14</v>
      </c>
      <c r="B18" s="26" t="n">
        <v>3</v>
      </c>
      <c r="C18" s="26" t="n">
        <v>4</v>
      </c>
      <c r="D18" s="26" t="n">
        <v>3</v>
      </c>
      <c r="E18" s="26" t="n">
        <v>4</v>
      </c>
      <c r="F18" s="26" t="n">
        <v>3</v>
      </c>
      <c r="G18" s="8">
        <f>IF(COUNT(B18:F18)&lt;5,"",B18&amp;"-"&amp;C18&amp;"-"&amp;D18&amp;"-"&amp;E18&amp;"-"&amp;F18)</f>
        <v/>
      </c>
    </row>
    <row r="19">
      <c r="A19" s="28" t="n">
        <v>15</v>
      </c>
      <c r="B19" s="26" t="n">
        <v>4</v>
      </c>
      <c r="C19" s="26" t="n">
        <v>5</v>
      </c>
      <c r="D19" s="26" t="n">
        <v>4</v>
      </c>
      <c r="E19" s="26" t="n">
        <v>5</v>
      </c>
      <c r="F19" s="26" t="n">
        <v>4</v>
      </c>
      <c r="G19" s="8">
        <f>IF(COUNT(B19:F19)&lt;5,"",B19&amp;"-"&amp;C19&amp;"-"&amp;D19&amp;"-"&amp;E19&amp;"-"&amp;F19)</f>
        <v/>
      </c>
    </row>
    <row r="20">
      <c r="A20" s="28" t="n">
        <v>16</v>
      </c>
      <c r="B20" s="26" t="n">
        <v>5</v>
      </c>
      <c r="C20" s="26" t="n">
        <v>4</v>
      </c>
      <c r="D20" s="26" t="n">
        <v>5</v>
      </c>
      <c r="E20" s="26" t="n">
        <v>4</v>
      </c>
      <c r="F20" s="26" t="n">
        <v>5</v>
      </c>
      <c r="G20" s="8">
        <f>IF(COUNT(B20:F20)&lt;5,"",B20&amp;"-"&amp;C20&amp;"-"&amp;D20&amp;"-"&amp;E20&amp;"-"&amp;F20)</f>
        <v/>
      </c>
    </row>
    <row r="21">
      <c r="A21" s="28" t="n">
        <v>17</v>
      </c>
      <c r="B21" s="26" t="n">
        <v>4</v>
      </c>
      <c r="C21" s="26" t="n">
        <v>3</v>
      </c>
      <c r="D21" s="26" t="n">
        <v>4</v>
      </c>
      <c r="E21" s="26" t="n">
        <v>3</v>
      </c>
      <c r="F21" s="26" t="n">
        <v>4</v>
      </c>
      <c r="G21" s="8">
        <f>IF(COUNT(B21:F21)&lt;5,"",B21&amp;"-"&amp;C21&amp;"-"&amp;D21&amp;"-"&amp;E21&amp;"-"&amp;F21)</f>
        <v/>
      </c>
    </row>
    <row r="22">
      <c r="A22" s="28" t="n">
        <v>18</v>
      </c>
      <c r="B22" s="26" t="n">
        <v>3</v>
      </c>
      <c r="C22" s="26" t="n">
        <v>2</v>
      </c>
      <c r="D22" s="26" t="n">
        <v>3</v>
      </c>
      <c r="E22" s="26" t="n">
        <v>2</v>
      </c>
      <c r="F22" s="26" t="n">
        <v>3</v>
      </c>
      <c r="G22" s="8">
        <f>IF(COUNT(B22:F22)&lt;5,"",B22&amp;"-"&amp;C22&amp;"-"&amp;D22&amp;"-"&amp;E22&amp;"-"&amp;F22)</f>
        <v/>
      </c>
    </row>
    <row r="23">
      <c r="A23" s="28" t="n">
        <v>19</v>
      </c>
      <c r="B23" s="26" t="n">
        <v>2</v>
      </c>
      <c r="C23" s="26" t="n">
        <v>1</v>
      </c>
      <c r="D23" s="26" t="n">
        <v>2</v>
      </c>
      <c r="E23" s="26" t="n">
        <v>1</v>
      </c>
      <c r="F23" s="26" t="n">
        <v>2</v>
      </c>
      <c r="G23" s="8">
        <f>IF(COUNT(B23:F23)&lt;5,"",B23&amp;"-"&amp;C23&amp;"-"&amp;D23&amp;"-"&amp;E23&amp;"-"&amp;F23)</f>
        <v/>
      </c>
    </row>
    <row r="24">
      <c r="A24" s="28" t="n">
        <v>20</v>
      </c>
      <c r="B24" s="26" t="n">
        <v>1</v>
      </c>
      <c r="C24" s="26" t="n">
        <v>3</v>
      </c>
      <c r="D24" s="26" t="n">
        <v>5</v>
      </c>
      <c r="E24" s="26" t="n">
        <v>3</v>
      </c>
      <c r="F24" s="26" t="n">
        <v>1</v>
      </c>
      <c r="G24" s="8">
        <f>IF(COUNT(B24:F24)&lt;5,"",B24&amp;"-"&amp;C24&amp;"-"&amp;D24&amp;"-"&amp;E24&amp;"-"&amp;F24)</f>
        <v/>
      </c>
    </row>
    <row r="25">
      <c r="A25" s="28" t="n">
        <v>21</v>
      </c>
      <c r="B25" s="26" t="n"/>
      <c r="C25" s="26" t="n"/>
      <c r="D25" s="26" t="n"/>
      <c r="E25" s="26" t="n"/>
      <c r="F25" s="26" t="n"/>
      <c r="G25" s="8">
        <f>IF(COUNT(B25:F25)&lt;5,"",B25&amp;"-"&amp;C25&amp;"-"&amp;D25&amp;"-"&amp;E25&amp;"-"&amp;F25)</f>
        <v/>
      </c>
    </row>
    <row r="26">
      <c r="A26" s="28" t="n">
        <v>22</v>
      </c>
      <c r="B26" s="26" t="n"/>
      <c r="C26" s="26" t="n"/>
      <c r="D26" s="26" t="n"/>
      <c r="E26" s="26" t="n"/>
      <c r="F26" s="26" t="n"/>
      <c r="G26" s="8">
        <f>IF(COUNT(B26:F26)&lt;5,"",B26&amp;"-"&amp;C26&amp;"-"&amp;D26&amp;"-"&amp;E26&amp;"-"&amp;F26)</f>
        <v/>
      </c>
    </row>
    <row r="27">
      <c r="A27" s="28" t="n">
        <v>23</v>
      </c>
      <c r="B27" s="26" t="n"/>
      <c r="C27" s="26" t="n"/>
      <c r="D27" s="26" t="n"/>
      <c r="E27" s="26" t="n"/>
      <c r="F27" s="26" t="n"/>
      <c r="G27" s="8">
        <f>IF(COUNT(B27:F27)&lt;5,"",B27&amp;"-"&amp;C27&amp;"-"&amp;D27&amp;"-"&amp;E27&amp;"-"&amp;F27)</f>
        <v/>
      </c>
    </row>
    <row r="28">
      <c r="A28" s="28" t="n">
        <v>24</v>
      </c>
      <c r="B28" s="26" t="n"/>
      <c r="C28" s="26" t="n"/>
      <c r="D28" s="26" t="n"/>
      <c r="E28" s="26" t="n"/>
      <c r="F28" s="26" t="n"/>
      <c r="G28" s="8">
        <f>IF(COUNT(B28:F28)&lt;5,"",B28&amp;"-"&amp;C28&amp;"-"&amp;D28&amp;"-"&amp;E28&amp;"-"&amp;F28)</f>
        <v/>
      </c>
    </row>
    <row r="29">
      <c r="A29" s="28" t="n">
        <v>25</v>
      </c>
      <c r="B29" s="26" t="n"/>
      <c r="C29" s="26" t="n"/>
      <c r="D29" s="26" t="n"/>
      <c r="E29" s="26" t="n"/>
      <c r="F29" s="26" t="n"/>
      <c r="G29" s="8">
        <f>IF(COUNT(B29:F29)&lt;5,"",B29&amp;"-"&amp;C29&amp;"-"&amp;D29&amp;"-"&amp;E29&amp;"-"&amp;F29)</f>
        <v/>
      </c>
    </row>
    <row r="30">
      <c r="A30" s="28" t="n">
        <v>26</v>
      </c>
      <c r="B30" s="26" t="n"/>
      <c r="C30" s="26" t="n"/>
      <c r="D30" s="26" t="n"/>
      <c r="E30" s="26" t="n"/>
      <c r="F30" s="26" t="n"/>
      <c r="G30" s="8">
        <f>IF(COUNT(B30:F30)&lt;5,"",B30&amp;"-"&amp;C30&amp;"-"&amp;D30&amp;"-"&amp;E30&amp;"-"&amp;F30)</f>
        <v/>
      </c>
    </row>
    <row r="31">
      <c r="A31" s="28" t="n">
        <v>27</v>
      </c>
      <c r="B31" s="26" t="n"/>
      <c r="C31" s="26" t="n"/>
      <c r="D31" s="26" t="n"/>
      <c r="E31" s="26" t="n"/>
      <c r="F31" s="26" t="n"/>
      <c r="G31" s="8">
        <f>IF(COUNT(B31:F31)&lt;5,"",B31&amp;"-"&amp;C31&amp;"-"&amp;D31&amp;"-"&amp;E31&amp;"-"&amp;F31)</f>
        <v/>
      </c>
    </row>
    <row r="32">
      <c r="A32" s="28" t="n">
        <v>28</v>
      </c>
      <c r="B32" s="26" t="n"/>
      <c r="C32" s="26" t="n"/>
      <c r="D32" s="26" t="n"/>
      <c r="E32" s="26" t="n"/>
      <c r="F32" s="26" t="n"/>
      <c r="G32" s="8">
        <f>IF(COUNT(B32:F32)&lt;5,"",B32&amp;"-"&amp;C32&amp;"-"&amp;D32&amp;"-"&amp;E32&amp;"-"&amp;F32)</f>
        <v/>
      </c>
    </row>
    <row r="33">
      <c r="A33" s="28" t="n">
        <v>29</v>
      </c>
      <c r="B33" s="26" t="n"/>
      <c r="C33" s="26" t="n"/>
      <c r="D33" s="26" t="n"/>
      <c r="E33" s="26" t="n"/>
      <c r="F33" s="26" t="n"/>
      <c r="G33" s="8">
        <f>IF(COUNT(B33:F33)&lt;5,"",B33&amp;"-"&amp;C33&amp;"-"&amp;D33&amp;"-"&amp;E33&amp;"-"&amp;F33)</f>
        <v/>
      </c>
    </row>
    <row r="34">
      <c r="A34" s="28" t="n">
        <v>30</v>
      </c>
      <c r="B34" s="26" t="n"/>
      <c r="C34" s="26" t="n"/>
      <c r="D34" s="26" t="n"/>
      <c r="E34" s="26" t="n"/>
      <c r="F34" s="26" t="n"/>
      <c r="G34" s="8">
        <f>IF(COUNT(B34:F34)&lt;5,"",B34&amp;"-"&amp;C34&amp;"-"&amp;D34&amp;"-"&amp;E34&amp;"-"&amp;F34)</f>
        <v/>
      </c>
    </row>
    <row r="35">
      <c r="A35" s="28" t="n">
        <v>31</v>
      </c>
      <c r="B35" s="26" t="n"/>
      <c r="C35" s="26" t="n"/>
      <c r="D35" s="26" t="n"/>
      <c r="E35" s="26" t="n"/>
      <c r="F35" s="26" t="n"/>
      <c r="G35" s="8">
        <f>IF(COUNT(B35:F35)&lt;5,"",B35&amp;"-"&amp;C35&amp;"-"&amp;D35&amp;"-"&amp;E35&amp;"-"&amp;F35)</f>
        <v/>
      </c>
    </row>
    <row r="36">
      <c r="A36" s="28" t="n">
        <v>32</v>
      </c>
      <c r="B36" s="26" t="n"/>
      <c r="C36" s="26" t="n"/>
      <c r="D36" s="26" t="n"/>
      <c r="E36" s="26" t="n"/>
      <c r="F36" s="26" t="n"/>
      <c r="G36" s="8">
        <f>IF(COUNT(B36:F36)&lt;5,"",B36&amp;"-"&amp;C36&amp;"-"&amp;D36&amp;"-"&amp;E36&amp;"-"&amp;F36)</f>
        <v/>
      </c>
    </row>
    <row r="37">
      <c r="A37" s="28" t="n">
        <v>33</v>
      </c>
      <c r="B37" s="26" t="n"/>
      <c r="C37" s="26" t="n"/>
      <c r="D37" s="26" t="n"/>
      <c r="E37" s="26" t="n"/>
      <c r="F37" s="26" t="n"/>
      <c r="G37" s="8">
        <f>IF(COUNT(B37:F37)&lt;5,"",B37&amp;"-"&amp;C37&amp;"-"&amp;D37&amp;"-"&amp;E37&amp;"-"&amp;F37)</f>
        <v/>
      </c>
    </row>
    <row r="38">
      <c r="A38" s="28" t="n">
        <v>34</v>
      </c>
      <c r="B38" s="26" t="n"/>
      <c r="C38" s="26" t="n"/>
      <c r="D38" s="26" t="n"/>
      <c r="E38" s="26" t="n"/>
      <c r="F38" s="26" t="n"/>
      <c r="G38" s="8">
        <f>IF(COUNT(B38:F38)&lt;5,"",B38&amp;"-"&amp;C38&amp;"-"&amp;D38&amp;"-"&amp;E38&amp;"-"&amp;F38)</f>
        <v/>
      </c>
    </row>
    <row r="39">
      <c r="A39" s="28" t="n">
        <v>35</v>
      </c>
      <c r="B39" s="26" t="n"/>
      <c r="C39" s="26" t="n"/>
      <c r="D39" s="26" t="n"/>
      <c r="E39" s="26" t="n"/>
      <c r="F39" s="26" t="n"/>
      <c r="G39" s="8">
        <f>IF(COUNT(B39:F39)&lt;5,"",B39&amp;"-"&amp;C39&amp;"-"&amp;D39&amp;"-"&amp;E39&amp;"-"&amp;F39)</f>
        <v/>
      </c>
    </row>
    <row r="40">
      <c r="A40" s="28" t="n">
        <v>36</v>
      </c>
      <c r="B40" s="26" t="n"/>
      <c r="C40" s="26" t="n"/>
      <c r="D40" s="26" t="n"/>
      <c r="E40" s="26" t="n"/>
      <c r="F40" s="26" t="n"/>
      <c r="G40" s="8">
        <f>IF(COUNT(B40:F40)&lt;5,"",B40&amp;"-"&amp;C40&amp;"-"&amp;D40&amp;"-"&amp;E40&amp;"-"&amp;F40)</f>
        <v/>
      </c>
    </row>
    <row r="41">
      <c r="A41" s="28" t="n">
        <v>37</v>
      </c>
      <c r="B41" s="26" t="n"/>
      <c r="C41" s="26" t="n"/>
      <c r="D41" s="26" t="n"/>
      <c r="E41" s="26" t="n"/>
      <c r="F41" s="26" t="n"/>
      <c r="G41" s="8">
        <f>IF(COUNT(B41:F41)&lt;5,"",B41&amp;"-"&amp;C41&amp;"-"&amp;D41&amp;"-"&amp;E41&amp;"-"&amp;F41)</f>
        <v/>
      </c>
    </row>
    <row r="42">
      <c r="A42" s="28" t="n">
        <v>38</v>
      </c>
      <c r="B42" s="26" t="n"/>
      <c r="C42" s="26" t="n"/>
      <c r="D42" s="26" t="n"/>
      <c r="E42" s="26" t="n"/>
      <c r="F42" s="26" t="n"/>
      <c r="G42" s="8">
        <f>IF(COUNT(B42:F42)&lt;5,"",B42&amp;"-"&amp;C42&amp;"-"&amp;D42&amp;"-"&amp;E42&amp;"-"&amp;F42)</f>
        <v/>
      </c>
    </row>
    <row r="43">
      <c r="A43" s="28" t="n">
        <v>39</v>
      </c>
      <c r="B43" s="26" t="n"/>
      <c r="C43" s="26" t="n"/>
      <c r="D43" s="26" t="n"/>
      <c r="E43" s="26" t="n"/>
      <c r="F43" s="26" t="n"/>
      <c r="G43" s="8">
        <f>IF(COUNT(B43:F43)&lt;5,"",B43&amp;"-"&amp;C43&amp;"-"&amp;D43&amp;"-"&amp;E43&amp;"-"&amp;F43)</f>
        <v/>
      </c>
    </row>
    <row r="44">
      <c r="A44" s="28" t="n">
        <v>40</v>
      </c>
      <c r="B44" s="26" t="n"/>
      <c r="C44" s="26" t="n"/>
      <c r="D44" s="26" t="n"/>
      <c r="E44" s="26" t="n"/>
      <c r="F44" s="26" t="n"/>
      <c r="G44" s="8">
        <f>IF(COUNT(B44:F44)&lt;5,"",B44&amp;"-"&amp;C44&amp;"-"&amp;D44&amp;"-"&amp;E44&amp;"-"&amp;F44)</f>
        <v/>
      </c>
    </row>
    <row r="45">
      <c r="A45" s="28" t="n">
        <v>41</v>
      </c>
      <c r="B45" s="26" t="n"/>
      <c r="C45" s="26" t="n"/>
      <c r="D45" s="26" t="n"/>
      <c r="E45" s="26" t="n"/>
      <c r="F45" s="26" t="n"/>
      <c r="G45" s="8">
        <f>IF(COUNT(B45:F45)&lt;5,"",B45&amp;"-"&amp;C45&amp;"-"&amp;D45&amp;"-"&amp;E45&amp;"-"&amp;F45)</f>
        <v/>
      </c>
    </row>
    <row r="46">
      <c r="A46" s="28" t="n">
        <v>42</v>
      </c>
      <c r="B46" s="26" t="n"/>
      <c r="C46" s="26" t="n"/>
      <c r="D46" s="26" t="n"/>
      <c r="E46" s="26" t="n"/>
      <c r="F46" s="26" t="n"/>
      <c r="G46" s="8">
        <f>IF(COUNT(B46:F46)&lt;5,"",B46&amp;"-"&amp;C46&amp;"-"&amp;D46&amp;"-"&amp;E46&amp;"-"&amp;F46)</f>
        <v/>
      </c>
    </row>
    <row r="47">
      <c r="A47" s="28" t="n">
        <v>43</v>
      </c>
      <c r="B47" s="26" t="n"/>
      <c r="C47" s="26" t="n"/>
      <c r="D47" s="26" t="n"/>
      <c r="E47" s="26" t="n"/>
      <c r="F47" s="26" t="n"/>
      <c r="G47" s="8">
        <f>IF(COUNT(B47:F47)&lt;5,"",B47&amp;"-"&amp;C47&amp;"-"&amp;D47&amp;"-"&amp;E47&amp;"-"&amp;F47)</f>
        <v/>
      </c>
    </row>
    <row r="48">
      <c r="A48" s="28" t="n">
        <v>44</v>
      </c>
      <c r="B48" s="26" t="n"/>
      <c r="C48" s="26" t="n"/>
      <c r="D48" s="26" t="n"/>
      <c r="E48" s="26" t="n"/>
      <c r="F48" s="26" t="n"/>
      <c r="G48" s="8">
        <f>IF(COUNT(B48:F48)&lt;5,"",B48&amp;"-"&amp;C48&amp;"-"&amp;D48&amp;"-"&amp;E48&amp;"-"&amp;F48)</f>
        <v/>
      </c>
    </row>
    <row r="49">
      <c r="A49" s="28" t="n">
        <v>45</v>
      </c>
      <c r="B49" s="26" t="n"/>
      <c r="C49" s="26" t="n"/>
      <c r="D49" s="26" t="n"/>
      <c r="E49" s="26" t="n"/>
      <c r="F49" s="26" t="n"/>
      <c r="G49" s="8">
        <f>IF(COUNT(B49:F49)&lt;5,"",B49&amp;"-"&amp;C49&amp;"-"&amp;D49&amp;"-"&amp;E49&amp;"-"&amp;F49)</f>
        <v/>
      </c>
    </row>
    <row r="50">
      <c r="A50" s="28" t="n">
        <v>46</v>
      </c>
      <c r="B50" s="26" t="n"/>
      <c r="C50" s="26" t="n"/>
      <c r="D50" s="26" t="n"/>
      <c r="E50" s="26" t="n"/>
      <c r="F50" s="26" t="n"/>
      <c r="G50" s="8">
        <f>IF(COUNT(B50:F50)&lt;5,"",B50&amp;"-"&amp;C50&amp;"-"&amp;D50&amp;"-"&amp;E50&amp;"-"&amp;F50)</f>
        <v/>
      </c>
    </row>
    <row r="51">
      <c r="A51" s="28" t="n">
        <v>47</v>
      </c>
      <c r="B51" s="26" t="n"/>
      <c r="C51" s="26" t="n"/>
      <c r="D51" s="26" t="n"/>
      <c r="E51" s="26" t="n"/>
      <c r="F51" s="26" t="n"/>
      <c r="G51" s="8">
        <f>IF(COUNT(B51:F51)&lt;5,"",B51&amp;"-"&amp;C51&amp;"-"&amp;D51&amp;"-"&amp;E51&amp;"-"&amp;F51)</f>
        <v/>
      </c>
    </row>
    <row r="52">
      <c r="A52" s="28" t="n">
        <v>48</v>
      </c>
      <c r="B52" s="26" t="n"/>
      <c r="C52" s="26" t="n"/>
      <c r="D52" s="26" t="n"/>
      <c r="E52" s="26" t="n"/>
      <c r="F52" s="26" t="n"/>
      <c r="G52" s="8">
        <f>IF(COUNT(B52:F52)&lt;5,"",B52&amp;"-"&amp;C52&amp;"-"&amp;D52&amp;"-"&amp;E52&amp;"-"&amp;F52)</f>
        <v/>
      </c>
    </row>
    <row r="53">
      <c r="A53" s="28" t="n">
        <v>49</v>
      </c>
      <c r="B53" s="26" t="n"/>
      <c r="C53" s="26" t="n"/>
      <c r="D53" s="26" t="n"/>
      <c r="E53" s="26" t="n"/>
      <c r="F53" s="26" t="n"/>
      <c r="G53" s="8">
        <f>IF(COUNT(B53:F53)&lt;5,"",B53&amp;"-"&amp;C53&amp;"-"&amp;D53&amp;"-"&amp;E53&amp;"-"&amp;F53)</f>
        <v/>
      </c>
    </row>
    <row r="54">
      <c r="A54" s="28" t="n">
        <v>50</v>
      </c>
      <c r="B54" s="26" t="n"/>
      <c r="C54" s="26" t="n"/>
      <c r="D54" s="26" t="n"/>
      <c r="E54" s="26" t="n"/>
      <c r="F54" s="26" t="n"/>
      <c r="G54" s="8">
        <f>IF(COUNT(B54:F54)&lt;5,"",B54&amp;"-"&amp;C54&amp;"-"&amp;D54&amp;"-"&amp;E54&amp;"-"&amp;F54)</f>
        <v/>
      </c>
    </row>
  </sheetData>
  <dataValidations count="1">
    <dataValidation sqref="B5:F54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Poids des symboles par rouleau</t>
        </is>
      </c>
    </row>
    <row r="2">
      <c r="A2" s="4" t="inlineStr">
        <is>
          <t>Probabilité d'une case = poids / total du rouleau. À droite : probabilités calculées.</t>
        </is>
      </c>
    </row>
    <row r="3">
      <c r="A3" s="12" t="inlineStr">
        <is>
          <t>JEU DE BASE</t>
        </is>
      </c>
    </row>
    <row r="4">
      <c r="A4" s="5" t="inlineStr">
        <is>
          <t>Code</t>
        </is>
      </c>
      <c r="B4" s="5" t="inlineStr">
        <is>
          <t>Symbole</t>
        </is>
      </c>
      <c r="C4" s="5" t="inlineStr">
        <is>
          <t>R1</t>
        </is>
      </c>
      <c r="D4" s="5" t="inlineStr">
        <is>
          <t>R2</t>
        </is>
      </c>
      <c r="E4" s="5" t="inlineStr">
        <is>
          <t>R3</t>
        </is>
      </c>
      <c r="F4" s="5" t="inlineStr">
        <is>
          <t>R4</t>
        </is>
      </c>
      <c r="G4" s="5" t="inlineStr">
        <is>
          <t>R5</t>
        </is>
      </c>
      <c r="I4" s="5" t="inlineStr">
        <is>
          <t>P(R1)</t>
        </is>
      </c>
      <c r="J4" s="5" t="inlineStr">
        <is>
          <t>P(R2)</t>
        </is>
      </c>
      <c r="K4" s="5" t="inlineStr">
        <is>
          <t>P(R3)</t>
        </is>
      </c>
      <c r="L4" s="5" t="inlineStr">
        <is>
          <t>P(R4)</t>
        </is>
      </c>
      <c r="M4" s="5" t="inlineStr">
        <is>
          <t>P(R5)</t>
        </is>
      </c>
    </row>
    <row r="5">
      <c r="A5" s="27">
        <f>Paytable!A4</f>
        <v/>
      </c>
      <c r="B5" s="27">
        <f>Paytable!B4</f>
        <v/>
      </c>
      <c r="C5" s="19" t="n">
        <v>2500</v>
      </c>
      <c r="D5" s="19" t="n">
        <v>2500</v>
      </c>
      <c r="E5" s="19" t="n">
        <v>2500</v>
      </c>
      <c r="F5" s="19" t="n">
        <v>2500</v>
      </c>
      <c r="G5" s="19" t="n">
        <v>2500</v>
      </c>
      <c r="I5" s="29">
        <f>IF(C$14=0,0,C5/C$14)</f>
        <v/>
      </c>
      <c r="J5" s="29">
        <f>IF(D$14=0,0,D5/D$14)</f>
        <v/>
      </c>
      <c r="K5" s="29">
        <f>IF(E$14=0,0,E5/E$14)</f>
        <v/>
      </c>
      <c r="L5" s="29">
        <f>IF(F$14=0,0,F5/F$14)</f>
        <v/>
      </c>
      <c r="M5" s="29">
        <f>IF(G$14=0,0,G5/G$14)</f>
        <v/>
      </c>
    </row>
    <row r="6">
      <c r="A6" s="27">
        <f>Paytable!A5</f>
        <v/>
      </c>
      <c r="B6" s="27">
        <f>Paytable!B5</f>
        <v/>
      </c>
      <c r="C6" s="19" t="n">
        <v>3800</v>
      </c>
      <c r="D6" s="19" t="n">
        <v>3800</v>
      </c>
      <c r="E6" s="19" t="n">
        <v>3800</v>
      </c>
      <c r="F6" s="19" t="n">
        <v>3800</v>
      </c>
      <c r="G6" s="19" t="n">
        <v>3800</v>
      </c>
      <c r="I6" s="29">
        <f>IF(C$14=0,0,C6/C$14)</f>
        <v/>
      </c>
      <c r="J6" s="29">
        <f>IF(D$14=0,0,D6/D$14)</f>
        <v/>
      </c>
      <c r="K6" s="29">
        <f>IF(E$14=0,0,E6/E$14)</f>
        <v/>
      </c>
      <c r="L6" s="29">
        <f>IF(F$14=0,0,F6/F$14)</f>
        <v/>
      </c>
      <c r="M6" s="29">
        <f>IF(G$14=0,0,G6/G$14)</f>
        <v/>
      </c>
    </row>
    <row r="7">
      <c r="A7" s="27">
        <f>Paytable!A6</f>
        <v/>
      </c>
      <c r="B7" s="27">
        <f>Paytable!B6</f>
        <v/>
      </c>
      <c r="C7" s="19" t="n">
        <v>5200</v>
      </c>
      <c r="D7" s="19" t="n">
        <v>5200</v>
      </c>
      <c r="E7" s="19" t="n">
        <v>5200</v>
      </c>
      <c r="F7" s="19" t="n">
        <v>5200</v>
      </c>
      <c r="G7" s="19" t="n">
        <v>5200</v>
      </c>
      <c r="I7" s="29">
        <f>IF(C$14=0,0,C7/C$14)</f>
        <v/>
      </c>
      <c r="J7" s="29">
        <f>IF(D$14=0,0,D7/D$14)</f>
        <v/>
      </c>
      <c r="K7" s="29">
        <f>IF(E$14=0,0,E7/E$14)</f>
        <v/>
      </c>
      <c r="L7" s="29">
        <f>IF(F$14=0,0,F7/F$14)</f>
        <v/>
      </c>
      <c r="M7" s="29">
        <f>IF(G$14=0,0,G7/G$14)</f>
        <v/>
      </c>
    </row>
    <row r="8">
      <c r="A8" s="27">
        <f>Paytable!A7</f>
        <v/>
      </c>
      <c r="B8" s="27">
        <f>Paytable!B7</f>
        <v/>
      </c>
      <c r="C8" s="19" t="n">
        <v>7500</v>
      </c>
      <c r="D8" s="19" t="n">
        <v>7500</v>
      </c>
      <c r="E8" s="19" t="n">
        <v>7500</v>
      </c>
      <c r="F8" s="19" t="n">
        <v>7500</v>
      </c>
      <c r="G8" s="19" t="n">
        <v>7500</v>
      </c>
      <c r="I8" s="29">
        <f>IF(C$14=0,0,C8/C$14)</f>
        <v/>
      </c>
      <c r="J8" s="29">
        <f>IF(D$14=0,0,D8/D$14)</f>
        <v/>
      </c>
      <c r="K8" s="29">
        <f>IF(E$14=0,0,E8/E$14)</f>
        <v/>
      </c>
      <c r="L8" s="29">
        <f>IF(F$14=0,0,F8/F$14)</f>
        <v/>
      </c>
      <c r="M8" s="29">
        <f>IF(G$14=0,0,G8/G$14)</f>
        <v/>
      </c>
    </row>
    <row r="9">
      <c r="A9" s="27">
        <f>Paytable!A8</f>
        <v/>
      </c>
      <c r="B9" s="27">
        <f>Paytable!B8</f>
        <v/>
      </c>
      <c r="C9" s="19" t="n">
        <v>12500</v>
      </c>
      <c r="D9" s="19" t="n">
        <v>12500</v>
      </c>
      <c r="E9" s="19" t="n">
        <v>12500</v>
      </c>
      <c r="F9" s="19" t="n">
        <v>12500</v>
      </c>
      <c r="G9" s="19" t="n">
        <v>12500</v>
      </c>
      <c r="I9" s="29">
        <f>IF(C$14=0,0,C9/C$14)</f>
        <v/>
      </c>
      <c r="J9" s="29">
        <f>IF(D$14=0,0,D9/D$14)</f>
        <v/>
      </c>
      <c r="K9" s="29">
        <f>IF(E$14=0,0,E9/E$14)</f>
        <v/>
      </c>
      <c r="L9" s="29">
        <f>IF(F$14=0,0,F9/F$14)</f>
        <v/>
      </c>
      <c r="M9" s="29">
        <f>IF(G$14=0,0,G9/G$14)</f>
        <v/>
      </c>
    </row>
    <row r="10">
      <c r="A10" s="27">
        <f>Paytable!A9</f>
        <v/>
      </c>
      <c r="B10" s="27">
        <f>Paytable!B9</f>
        <v/>
      </c>
      <c r="C10" s="19" t="n">
        <v>14000</v>
      </c>
      <c r="D10" s="19" t="n">
        <v>14000</v>
      </c>
      <c r="E10" s="19" t="n">
        <v>14000</v>
      </c>
      <c r="F10" s="19" t="n">
        <v>14000</v>
      </c>
      <c r="G10" s="19" t="n">
        <v>14000</v>
      </c>
      <c r="I10" s="29">
        <f>IF(C$14=0,0,C10/C$14)</f>
        <v/>
      </c>
      <c r="J10" s="29">
        <f>IF(D$14=0,0,D10/D$14)</f>
        <v/>
      </c>
      <c r="K10" s="29">
        <f>IF(E$14=0,0,E10/E$14)</f>
        <v/>
      </c>
      <c r="L10" s="29">
        <f>IF(F$14=0,0,F10/F$14)</f>
        <v/>
      </c>
      <c r="M10" s="29">
        <f>IF(G$14=0,0,G10/G$14)</f>
        <v/>
      </c>
    </row>
    <row r="11">
      <c r="A11" s="27">
        <f>Paytable!A10</f>
        <v/>
      </c>
      <c r="B11" s="27">
        <f>Paytable!B10</f>
        <v/>
      </c>
      <c r="C11" s="19" t="n">
        <v>15500</v>
      </c>
      <c r="D11" s="19" t="n">
        <v>15500</v>
      </c>
      <c r="E11" s="19" t="n">
        <v>15500</v>
      </c>
      <c r="F11" s="19" t="n">
        <v>15500</v>
      </c>
      <c r="G11" s="19" t="n">
        <v>15500</v>
      </c>
      <c r="I11" s="29">
        <f>IF(C$14=0,0,C11/C$14)</f>
        <v/>
      </c>
      <c r="J11" s="29">
        <f>IF(D$14=0,0,D11/D$14)</f>
        <v/>
      </c>
      <c r="K11" s="29">
        <f>IF(E$14=0,0,E11/E$14)</f>
        <v/>
      </c>
      <c r="L11" s="29">
        <f>IF(F$14=0,0,F11/F$14)</f>
        <v/>
      </c>
      <c r="M11" s="29">
        <f>IF(G$14=0,0,G11/G$14)</f>
        <v/>
      </c>
    </row>
    <row r="12">
      <c r="A12" s="27">
        <f>Paytable!A11</f>
        <v/>
      </c>
      <c r="B12" s="27">
        <f>Paytable!B11</f>
        <v/>
      </c>
      <c r="C12" s="19" t="n">
        <v>940</v>
      </c>
      <c r="D12" s="19" t="n">
        <v>940</v>
      </c>
      <c r="E12" s="19" t="n">
        <v>940</v>
      </c>
      <c r="F12" s="19" t="n">
        <v>940</v>
      </c>
      <c r="G12" s="19" t="n">
        <v>940</v>
      </c>
      <c r="I12" s="29">
        <f>IF(C$14=0,0,C12/C$14)</f>
        <v/>
      </c>
      <c r="J12" s="29">
        <f>IF(D$14=0,0,D12/D$14)</f>
        <v/>
      </c>
      <c r="K12" s="29">
        <f>IF(E$14=0,0,E12/E$14)</f>
        <v/>
      </c>
      <c r="L12" s="29">
        <f>IF(F$14=0,0,F12/F$14)</f>
        <v/>
      </c>
      <c r="M12" s="29">
        <f>IF(G$14=0,0,G12/G$14)</f>
        <v/>
      </c>
    </row>
    <row r="13">
      <c r="A13" s="27">
        <f>Paytable!A12</f>
        <v/>
      </c>
      <c r="B13" s="27">
        <f>Paytable!B12</f>
        <v/>
      </c>
      <c r="C13" s="19" t="n">
        <v>2</v>
      </c>
      <c r="D13" s="19" t="n">
        <v>2</v>
      </c>
      <c r="E13" s="19" t="n">
        <v>2</v>
      </c>
      <c r="F13" s="19" t="n">
        <v>2</v>
      </c>
      <c r="G13" s="19" t="n">
        <v>2</v>
      </c>
      <c r="I13" s="29">
        <f>IF(C$14=0,0,C13/C$14)</f>
        <v/>
      </c>
      <c r="J13" s="29">
        <f>IF(D$14=0,0,D13/D$14)</f>
        <v/>
      </c>
      <c r="K13" s="29">
        <f>IF(E$14=0,0,E13/E$14)</f>
        <v/>
      </c>
      <c r="L13" s="29">
        <f>IF(F$14=0,0,F13/F$14)</f>
        <v/>
      </c>
      <c r="M13" s="29">
        <f>IF(G$14=0,0,G13/G$14)</f>
        <v/>
      </c>
    </row>
    <row r="14">
      <c r="B14" s="30" t="inlineStr">
        <is>
          <t>Total</t>
        </is>
      </c>
      <c r="C14" s="31">
        <f>SUM(C5:C13)</f>
        <v/>
      </c>
      <c r="D14" s="31">
        <f>SUM(D5:D13)</f>
        <v/>
      </c>
      <c r="E14" s="31">
        <f>SUM(E5:E13)</f>
        <v/>
      </c>
      <c r="F14" s="31">
        <f>SUM(F5:F13)</f>
        <v/>
      </c>
      <c r="G14" s="31">
        <f>SUM(G5:G13)</f>
        <v/>
      </c>
      <c r="I14" s="32">
        <f>SUM(I5:I13)</f>
        <v/>
      </c>
      <c r="J14" s="32">
        <f>SUM(J5:J13)</f>
        <v/>
      </c>
      <c r="K14" s="32">
        <f>SUM(K5:K13)</f>
        <v/>
      </c>
      <c r="L14" s="32">
        <f>SUM(L5:L13)</f>
        <v/>
      </c>
      <c r="M14" s="32">
        <f>SUM(M5:M13)</f>
        <v/>
      </c>
    </row>
    <row r="17">
      <c r="A17" s="12" t="inlineStr">
        <is>
          <t>SPINS BOOSTÉS (plus de symboles bonus ; prix dans Config)</t>
        </is>
      </c>
    </row>
    <row r="18">
      <c r="A18" s="5" t="inlineStr">
        <is>
          <t>Code</t>
        </is>
      </c>
      <c r="B18" s="5" t="inlineStr">
        <is>
          <t>Symbole</t>
        </is>
      </c>
      <c r="C18" s="5" t="inlineStr">
        <is>
          <t>R1</t>
        </is>
      </c>
      <c r="D18" s="5" t="inlineStr">
        <is>
          <t>R2</t>
        </is>
      </c>
      <c r="E18" s="5" t="inlineStr">
        <is>
          <t>R3</t>
        </is>
      </c>
      <c r="F18" s="5" t="inlineStr">
        <is>
          <t>R4</t>
        </is>
      </c>
      <c r="G18" s="5" t="inlineStr">
        <is>
          <t>R5</t>
        </is>
      </c>
      <c r="I18" s="5" t="inlineStr">
        <is>
          <t>P(R1)</t>
        </is>
      </c>
      <c r="J18" s="5" t="inlineStr">
        <is>
          <t>P(R2)</t>
        </is>
      </c>
      <c r="K18" s="5" t="inlineStr">
        <is>
          <t>P(R3)</t>
        </is>
      </c>
      <c r="L18" s="5" t="inlineStr">
        <is>
          <t>P(R4)</t>
        </is>
      </c>
      <c r="M18" s="5" t="inlineStr">
        <is>
          <t>P(R5)</t>
        </is>
      </c>
    </row>
    <row r="19">
      <c r="A19" s="27">
        <f>Paytable!A4</f>
        <v/>
      </c>
      <c r="B19" s="27">
        <f>Paytable!B4</f>
        <v/>
      </c>
      <c r="C19" s="19" t="n">
        <v>2500</v>
      </c>
      <c r="D19" s="19" t="n">
        <v>2500</v>
      </c>
      <c r="E19" s="19" t="n">
        <v>2500</v>
      </c>
      <c r="F19" s="19" t="n">
        <v>2500</v>
      </c>
      <c r="G19" s="19" t="n">
        <v>2500</v>
      </c>
      <c r="I19" s="29">
        <f>IF(C$28=0,0,C19/C$28)</f>
        <v/>
      </c>
      <c r="J19" s="29">
        <f>IF(D$28=0,0,D19/D$28)</f>
        <v/>
      </c>
      <c r="K19" s="29">
        <f>IF(E$28=0,0,E19/E$28)</f>
        <v/>
      </c>
      <c r="L19" s="29">
        <f>IF(F$28=0,0,F19/F$28)</f>
        <v/>
      </c>
      <c r="M19" s="29">
        <f>IF(G$28=0,0,G19/G$28)</f>
        <v/>
      </c>
    </row>
    <row r="20">
      <c r="A20" s="27">
        <f>Paytable!A5</f>
        <v/>
      </c>
      <c r="B20" s="27">
        <f>Paytable!B5</f>
        <v/>
      </c>
      <c r="C20" s="19" t="n">
        <v>3800</v>
      </c>
      <c r="D20" s="19" t="n">
        <v>3800</v>
      </c>
      <c r="E20" s="19" t="n">
        <v>3800</v>
      </c>
      <c r="F20" s="19" t="n">
        <v>3800</v>
      </c>
      <c r="G20" s="19" t="n">
        <v>3800</v>
      </c>
      <c r="I20" s="29">
        <f>IF(C$28=0,0,C20/C$28)</f>
        <v/>
      </c>
      <c r="J20" s="29">
        <f>IF(D$28=0,0,D20/D$28)</f>
        <v/>
      </c>
      <c r="K20" s="29">
        <f>IF(E$28=0,0,E20/E$28)</f>
        <v/>
      </c>
      <c r="L20" s="29">
        <f>IF(F$28=0,0,F20/F$28)</f>
        <v/>
      </c>
      <c r="M20" s="29">
        <f>IF(G$28=0,0,G20/G$28)</f>
        <v/>
      </c>
    </row>
    <row r="21">
      <c r="A21" s="27">
        <f>Paytable!A6</f>
        <v/>
      </c>
      <c r="B21" s="27">
        <f>Paytable!B6</f>
        <v/>
      </c>
      <c r="C21" s="19" t="n">
        <v>5200</v>
      </c>
      <c r="D21" s="19" t="n">
        <v>5200</v>
      </c>
      <c r="E21" s="19" t="n">
        <v>5200</v>
      </c>
      <c r="F21" s="19" t="n">
        <v>5200</v>
      </c>
      <c r="G21" s="19" t="n">
        <v>5200</v>
      </c>
      <c r="I21" s="29">
        <f>IF(C$28=0,0,C21/C$28)</f>
        <v/>
      </c>
      <c r="J21" s="29">
        <f>IF(D$28=0,0,D21/D$28)</f>
        <v/>
      </c>
      <c r="K21" s="29">
        <f>IF(E$28=0,0,E21/E$28)</f>
        <v/>
      </c>
      <c r="L21" s="29">
        <f>IF(F$28=0,0,F21/F$28)</f>
        <v/>
      </c>
      <c r="M21" s="29">
        <f>IF(G$28=0,0,G21/G$28)</f>
        <v/>
      </c>
    </row>
    <row r="22">
      <c r="A22" s="27">
        <f>Paytable!A7</f>
        <v/>
      </c>
      <c r="B22" s="27">
        <f>Paytable!B7</f>
        <v/>
      </c>
      <c r="C22" s="19" t="n">
        <v>7500</v>
      </c>
      <c r="D22" s="19" t="n">
        <v>7500</v>
      </c>
      <c r="E22" s="19" t="n">
        <v>7500</v>
      </c>
      <c r="F22" s="19" t="n">
        <v>7500</v>
      </c>
      <c r="G22" s="19" t="n">
        <v>7500</v>
      </c>
      <c r="I22" s="29">
        <f>IF(C$28=0,0,C22/C$28)</f>
        <v/>
      </c>
      <c r="J22" s="29">
        <f>IF(D$28=0,0,D22/D$28)</f>
        <v/>
      </c>
      <c r="K22" s="29">
        <f>IF(E$28=0,0,E22/E$28)</f>
        <v/>
      </c>
      <c r="L22" s="29">
        <f>IF(F$28=0,0,F22/F$28)</f>
        <v/>
      </c>
      <c r="M22" s="29">
        <f>IF(G$28=0,0,G22/G$28)</f>
        <v/>
      </c>
    </row>
    <row r="23">
      <c r="A23" s="27">
        <f>Paytable!A8</f>
        <v/>
      </c>
      <c r="B23" s="27">
        <f>Paytable!B8</f>
        <v/>
      </c>
      <c r="C23" s="19" t="n">
        <v>12500</v>
      </c>
      <c r="D23" s="19" t="n">
        <v>12500</v>
      </c>
      <c r="E23" s="19" t="n">
        <v>12500</v>
      </c>
      <c r="F23" s="19" t="n">
        <v>12500</v>
      </c>
      <c r="G23" s="19" t="n">
        <v>12500</v>
      </c>
      <c r="I23" s="29">
        <f>IF(C$28=0,0,C23/C$28)</f>
        <v/>
      </c>
      <c r="J23" s="29">
        <f>IF(D$28=0,0,D23/D$28)</f>
        <v/>
      </c>
      <c r="K23" s="29">
        <f>IF(E$28=0,0,E23/E$28)</f>
        <v/>
      </c>
      <c r="L23" s="29">
        <f>IF(F$28=0,0,F23/F$28)</f>
        <v/>
      </c>
      <c r="M23" s="29">
        <f>IF(G$28=0,0,G23/G$28)</f>
        <v/>
      </c>
    </row>
    <row r="24">
      <c r="A24" s="27">
        <f>Paytable!A9</f>
        <v/>
      </c>
      <c r="B24" s="27">
        <f>Paytable!B9</f>
        <v/>
      </c>
      <c r="C24" s="19" t="n">
        <v>14000</v>
      </c>
      <c r="D24" s="19" t="n">
        <v>14000</v>
      </c>
      <c r="E24" s="19" t="n">
        <v>14000</v>
      </c>
      <c r="F24" s="19" t="n">
        <v>14000</v>
      </c>
      <c r="G24" s="19" t="n">
        <v>14000</v>
      </c>
      <c r="I24" s="29">
        <f>IF(C$28=0,0,C24/C$28)</f>
        <v/>
      </c>
      <c r="J24" s="29">
        <f>IF(D$28=0,0,D24/D$28)</f>
        <v/>
      </c>
      <c r="K24" s="29">
        <f>IF(E$28=0,0,E24/E$28)</f>
        <v/>
      </c>
      <c r="L24" s="29">
        <f>IF(F$28=0,0,F24/F$28)</f>
        <v/>
      </c>
      <c r="M24" s="29">
        <f>IF(G$28=0,0,G24/G$28)</f>
        <v/>
      </c>
    </row>
    <row r="25">
      <c r="A25" s="27">
        <f>Paytable!A10</f>
        <v/>
      </c>
      <c r="B25" s="27">
        <f>Paytable!B10</f>
        <v/>
      </c>
      <c r="C25" s="19" t="n">
        <v>15500</v>
      </c>
      <c r="D25" s="19" t="n">
        <v>15500</v>
      </c>
      <c r="E25" s="19" t="n">
        <v>15500</v>
      </c>
      <c r="F25" s="19" t="n">
        <v>15500</v>
      </c>
      <c r="G25" s="19" t="n">
        <v>15500</v>
      </c>
      <c r="I25" s="29">
        <f>IF(C$28=0,0,C25/C$28)</f>
        <v/>
      </c>
      <c r="J25" s="29">
        <f>IF(D$28=0,0,D25/D$28)</f>
        <v/>
      </c>
      <c r="K25" s="29">
        <f>IF(E$28=0,0,E25/E$28)</f>
        <v/>
      </c>
      <c r="L25" s="29">
        <f>IF(F$28=0,0,F25/F$28)</f>
        <v/>
      </c>
      <c r="M25" s="29">
        <f>IF(G$28=0,0,G25/G$28)</f>
        <v/>
      </c>
    </row>
    <row r="26">
      <c r="A26" s="27">
        <f>Paytable!A11</f>
        <v/>
      </c>
      <c r="B26" s="27">
        <f>Paytable!B11</f>
        <v/>
      </c>
      <c r="C26" s="19" t="n">
        <v>1135</v>
      </c>
      <c r="D26" s="19" t="n">
        <v>1135</v>
      </c>
      <c r="E26" s="19" t="n">
        <v>1135</v>
      </c>
      <c r="F26" s="19" t="n">
        <v>1135</v>
      </c>
      <c r="G26" s="19" t="n">
        <v>1135</v>
      </c>
      <c r="I26" s="29">
        <f>IF(C$28=0,0,C26/C$28)</f>
        <v/>
      </c>
      <c r="J26" s="29">
        <f>IF(D$28=0,0,D26/D$28)</f>
        <v/>
      </c>
      <c r="K26" s="29">
        <f>IF(E$28=0,0,E26/E$28)</f>
        <v/>
      </c>
      <c r="L26" s="29">
        <f>IF(F$28=0,0,F26/F$28)</f>
        <v/>
      </c>
      <c r="M26" s="29">
        <f>IF(G$28=0,0,G26/G$28)</f>
        <v/>
      </c>
    </row>
    <row r="27">
      <c r="A27" s="27">
        <f>Paytable!A12</f>
        <v/>
      </c>
      <c r="B27" s="27">
        <f>Paytable!B12</f>
        <v/>
      </c>
      <c r="C27" s="19" t="n">
        <v>2</v>
      </c>
      <c r="D27" s="19" t="n">
        <v>2</v>
      </c>
      <c r="E27" s="19" t="n">
        <v>2</v>
      </c>
      <c r="F27" s="19" t="n">
        <v>2</v>
      </c>
      <c r="G27" s="19" t="n">
        <v>2</v>
      </c>
      <c r="I27" s="29">
        <f>IF(C$28=0,0,C27/C$28)</f>
        <v/>
      </c>
      <c r="J27" s="29">
        <f>IF(D$28=0,0,D27/D$28)</f>
        <v/>
      </c>
      <c r="K27" s="29">
        <f>IF(E$28=0,0,E27/E$28)</f>
        <v/>
      </c>
      <c r="L27" s="29">
        <f>IF(F$28=0,0,F27/F$28)</f>
        <v/>
      </c>
      <c r="M27" s="29">
        <f>IF(G$28=0,0,G27/G$28)</f>
        <v/>
      </c>
    </row>
    <row r="28">
      <c r="B28" s="30" t="inlineStr">
        <is>
          <t>Total</t>
        </is>
      </c>
      <c r="C28" s="31">
        <f>SUM(C19:C27)</f>
        <v/>
      </c>
      <c r="D28" s="31">
        <f>SUM(D19:D27)</f>
        <v/>
      </c>
      <c r="E28" s="31">
        <f>SUM(E19:E27)</f>
        <v/>
      </c>
      <c r="F28" s="31">
        <f>SUM(F19:F27)</f>
        <v/>
      </c>
      <c r="G28" s="31">
        <f>SUM(G19:G27)</f>
        <v/>
      </c>
      <c r="I28" s="32">
        <f>SUM(I19:I27)</f>
        <v/>
      </c>
      <c r="J28" s="32">
        <f>SUM(J19:J27)</f>
        <v/>
      </c>
      <c r="K28" s="32">
        <f>SUM(K19:K27)</f>
        <v/>
      </c>
      <c r="L28" s="32">
        <f>SUM(L19:L27)</f>
        <v/>
      </c>
      <c r="M28" s="32">
        <f>SUM(M19:M27)</f>
        <v/>
      </c>
    </row>
    <row r="31">
      <c r="A31" s="12" t="inlineStr">
        <is>
          <t>FREE SPINS DU BONUS 1 (Free spins)</t>
        </is>
      </c>
    </row>
    <row r="32">
      <c r="A32" s="5" t="inlineStr">
        <is>
          <t>Code</t>
        </is>
      </c>
      <c r="B32" s="5" t="inlineStr">
        <is>
          <t>Symbole</t>
        </is>
      </c>
      <c r="C32" s="5" t="inlineStr">
        <is>
          <t>R1</t>
        </is>
      </c>
      <c r="D32" s="5" t="inlineStr">
        <is>
          <t>R2</t>
        </is>
      </c>
      <c r="E32" s="5" t="inlineStr">
        <is>
          <t>R3</t>
        </is>
      </c>
      <c r="F32" s="5" t="inlineStr">
        <is>
          <t>R4</t>
        </is>
      </c>
      <c r="G32" s="5" t="inlineStr">
        <is>
          <t>R5</t>
        </is>
      </c>
      <c r="I32" s="5" t="inlineStr">
        <is>
          <t>P(R1)</t>
        </is>
      </c>
      <c r="J32" s="5" t="inlineStr">
        <is>
          <t>P(R2)</t>
        </is>
      </c>
      <c r="K32" s="5" t="inlineStr">
        <is>
          <t>P(R3)</t>
        </is>
      </c>
      <c r="L32" s="5" t="inlineStr">
        <is>
          <t>P(R4)</t>
        </is>
      </c>
      <c r="M32" s="5" t="inlineStr">
        <is>
          <t>P(R5)</t>
        </is>
      </c>
    </row>
    <row r="33">
      <c r="A33" s="27">
        <f>Paytable!A4</f>
        <v/>
      </c>
      <c r="B33" s="27">
        <f>Paytable!B4</f>
        <v/>
      </c>
      <c r="C33" s="19" t="n">
        <v>2500</v>
      </c>
      <c r="D33" s="19" t="n">
        <v>2500</v>
      </c>
      <c r="E33" s="19" t="n">
        <v>2500</v>
      </c>
      <c r="F33" s="19" t="n">
        <v>2500</v>
      </c>
      <c r="G33" s="19" t="n">
        <v>2500</v>
      </c>
      <c r="I33" s="29">
        <f>IF(C$42=0,0,C33/C$42)</f>
        <v/>
      </c>
      <c r="J33" s="29">
        <f>IF(D$42=0,0,D33/D$42)</f>
        <v/>
      </c>
      <c r="K33" s="29">
        <f>IF(E$42=0,0,E33/E$42)</f>
        <v/>
      </c>
      <c r="L33" s="29">
        <f>IF(F$42=0,0,F33/F$42)</f>
        <v/>
      </c>
      <c r="M33" s="29">
        <f>IF(G$42=0,0,G33/G$42)</f>
        <v/>
      </c>
    </row>
    <row r="34">
      <c r="A34" s="27">
        <f>Paytable!A5</f>
        <v/>
      </c>
      <c r="B34" s="27">
        <f>Paytable!B5</f>
        <v/>
      </c>
      <c r="C34" s="19" t="n">
        <v>3800</v>
      </c>
      <c r="D34" s="19" t="n">
        <v>3800</v>
      </c>
      <c r="E34" s="19" t="n">
        <v>3800</v>
      </c>
      <c r="F34" s="19" t="n">
        <v>3800</v>
      </c>
      <c r="G34" s="19" t="n">
        <v>3800</v>
      </c>
      <c r="I34" s="29">
        <f>IF(C$42=0,0,C34/C$42)</f>
        <v/>
      </c>
      <c r="J34" s="29">
        <f>IF(D$42=0,0,D34/D$42)</f>
        <v/>
      </c>
      <c r="K34" s="29">
        <f>IF(E$42=0,0,E34/E$42)</f>
        <v/>
      </c>
      <c r="L34" s="29">
        <f>IF(F$42=0,0,F34/F$42)</f>
        <v/>
      </c>
      <c r="M34" s="29">
        <f>IF(G$42=0,0,G34/G$42)</f>
        <v/>
      </c>
    </row>
    <row r="35">
      <c r="A35" s="27">
        <f>Paytable!A6</f>
        <v/>
      </c>
      <c r="B35" s="27">
        <f>Paytable!B6</f>
        <v/>
      </c>
      <c r="C35" s="19" t="n">
        <v>5200</v>
      </c>
      <c r="D35" s="19" t="n">
        <v>5200</v>
      </c>
      <c r="E35" s="19" t="n">
        <v>5200</v>
      </c>
      <c r="F35" s="19" t="n">
        <v>5200</v>
      </c>
      <c r="G35" s="19" t="n">
        <v>5200</v>
      </c>
      <c r="I35" s="29">
        <f>IF(C$42=0,0,C35/C$42)</f>
        <v/>
      </c>
      <c r="J35" s="29">
        <f>IF(D$42=0,0,D35/D$42)</f>
        <v/>
      </c>
      <c r="K35" s="29">
        <f>IF(E$42=0,0,E35/E$42)</f>
        <v/>
      </c>
      <c r="L35" s="29">
        <f>IF(F$42=0,0,F35/F$42)</f>
        <v/>
      </c>
      <c r="M35" s="29">
        <f>IF(G$42=0,0,G35/G$42)</f>
        <v/>
      </c>
    </row>
    <row r="36">
      <c r="A36" s="27">
        <f>Paytable!A7</f>
        <v/>
      </c>
      <c r="B36" s="27">
        <f>Paytable!B7</f>
        <v/>
      </c>
      <c r="C36" s="19" t="n">
        <v>7500</v>
      </c>
      <c r="D36" s="19" t="n">
        <v>7500</v>
      </c>
      <c r="E36" s="19" t="n">
        <v>7500</v>
      </c>
      <c r="F36" s="19" t="n">
        <v>7500</v>
      </c>
      <c r="G36" s="19" t="n">
        <v>7500</v>
      </c>
      <c r="I36" s="29">
        <f>IF(C$42=0,0,C36/C$42)</f>
        <v/>
      </c>
      <c r="J36" s="29">
        <f>IF(D$42=0,0,D36/D$42)</f>
        <v/>
      </c>
      <c r="K36" s="29">
        <f>IF(E$42=0,0,E36/E$42)</f>
        <v/>
      </c>
      <c r="L36" s="29">
        <f>IF(F$42=0,0,F36/F$42)</f>
        <v/>
      </c>
      <c r="M36" s="29">
        <f>IF(G$42=0,0,G36/G$42)</f>
        <v/>
      </c>
    </row>
    <row r="37">
      <c r="A37" s="27">
        <f>Paytable!A8</f>
        <v/>
      </c>
      <c r="B37" s="27">
        <f>Paytable!B8</f>
        <v/>
      </c>
      <c r="C37" s="19" t="n">
        <v>12500</v>
      </c>
      <c r="D37" s="19" t="n">
        <v>12500</v>
      </c>
      <c r="E37" s="19" t="n">
        <v>12500</v>
      </c>
      <c r="F37" s="19" t="n">
        <v>12500</v>
      </c>
      <c r="G37" s="19" t="n">
        <v>12500</v>
      </c>
      <c r="I37" s="29">
        <f>IF(C$42=0,0,C37/C$42)</f>
        <v/>
      </c>
      <c r="J37" s="29">
        <f>IF(D$42=0,0,D37/D$42)</f>
        <v/>
      </c>
      <c r="K37" s="29">
        <f>IF(E$42=0,0,E37/E$42)</f>
        <v/>
      </c>
      <c r="L37" s="29">
        <f>IF(F$42=0,0,F37/F$42)</f>
        <v/>
      </c>
      <c r="M37" s="29">
        <f>IF(G$42=0,0,G37/G$42)</f>
        <v/>
      </c>
    </row>
    <row r="38">
      <c r="A38" s="27">
        <f>Paytable!A9</f>
        <v/>
      </c>
      <c r="B38" s="27">
        <f>Paytable!B9</f>
        <v/>
      </c>
      <c r="C38" s="19" t="n">
        <v>14000</v>
      </c>
      <c r="D38" s="19" t="n">
        <v>14000</v>
      </c>
      <c r="E38" s="19" t="n">
        <v>14000</v>
      </c>
      <c r="F38" s="19" t="n">
        <v>14000</v>
      </c>
      <c r="G38" s="19" t="n">
        <v>14000</v>
      </c>
      <c r="I38" s="29">
        <f>IF(C$42=0,0,C38/C$42)</f>
        <v/>
      </c>
      <c r="J38" s="29">
        <f>IF(D$42=0,0,D38/D$42)</f>
        <v/>
      </c>
      <c r="K38" s="29">
        <f>IF(E$42=0,0,E38/E$42)</f>
        <v/>
      </c>
      <c r="L38" s="29">
        <f>IF(F$42=0,0,F38/F$42)</f>
        <v/>
      </c>
      <c r="M38" s="29">
        <f>IF(G$42=0,0,G38/G$42)</f>
        <v/>
      </c>
    </row>
    <row r="39">
      <c r="A39" s="27">
        <f>Paytable!A10</f>
        <v/>
      </c>
      <c r="B39" s="27">
        <f>Paytable!B10</f>
        <v/>
      </c>
      <c r="C39" s="19" t="n">
        <v>15500</v>
      </c>
      <c r="D39" s="19" t="n">
        <v>15500</v>
      </c>
      <c r="E39" s="19" t="n">
        <v>15500</v>
      </c>
      <c r="F39" s="19" t="n">
        <v>15500</v>
      </c>
      <c r="G39" s="19" t="n">
        <v>15500</v>
      </c>
      <c r="I39" s="29">
        <f>IF(C$42=0,0,C39/C$42)</f>
        <v/>
      </c>
      <c r="J39" s="29">
        <f>IF(D$42=0,0,D39/D$42)</f>
        <v/>
      </c>
      <c r="K39" s="29">
        <f>IF(E$42=0,0,E39/E$42)</f>
        <v/>
      </c>
      <c r="L39" s="29">
        <f>IF(F$42=0,0,F39/F$42)</f>
        <v/>
      </c>
      <c r="M39" s="29">
        <f>IF(G$42=0,0,G39/G$42)</f>
        <v/>
      </c>
    </row>
    <row r="40">
      <c r="A40" s="27">
        <f>Paytable!A11</f>
        <v/>
      </c>
      <c r="B40" s="27">
        <f>Paytable!B11</f>
        <v/>
      </c>
      <c r="C40" s="19" t="n">
        <v>1400</v>
      </c>
      <c r="D40" s="19" t="n">
        <v>1400</v>
      </c>
      <c r="E40" s="19" t="n">
        <v>1400</v>
      </c>
      <c r="F40" s="19" t="n">
        <v>1400</v>
      </c>
      <c r="G40" s="19" t="n">
        <v>1400</v>
      </c>
      <c r="I40" s="29">
        <f>IF(C$42=0,0,C40/C$42)</f>
        <v/>
      </c>
      <c r="J40" s="29">
        <f>IF(D$42=0,0,D40/D$42)</f>
        <v/>
      </c>
      <c r="K40" s="29">
        <f>IF(E$42=0,0,E40/E$42)</f>
        <v/>
      </c>
      <c r="L40" s="29">
        <f>IF(F$42=0,0,F40/F$42)</f>
        <v/>
      </c>
      <c r="M40" s="29">
        <f>IF(G$42=0,0,G40/G$42)</f>
        <v/>
      </c>
    </row>
    <row r="41">
      <c r="A41" s="27">
        <f>Paytable!A12</f>
        <v/>
      </c>
      <c r="B41" s="27">
        <f>Paytable!B12</f>
        <v/>
      </c>
      <c r="C41" s="19" t="n">
        <v>9</v>
      </c>
      <c r="D41" s="19" t="n">
        <v>9</v>
      </c>
      <c r="E41" s="19" t="n">
        <v>9</v>
      </c>
      <c r="F41" s="19" t="n">
        <v>9</v>
      </c>
      <c r="G41" s="19" t="n">
        <v>9</v>
      </c>
      <c r="I41" s="29">
        <f>IF(C$42=0,0,C41/C$42)</f>
        <v/>
      </c>
      <c r="J41" s="29">
        <f>IF(D$42=0,0,D41/D$42)</f>
        <v/>
      </c>
      <c r="K41" s="29">
        <f>IF(E$42=0,0,E41/E$42)</f>
        <v/>
      </c>
      <c r="L41" s="29">
        <f>IF(F$42=0,0,F41/F$42)</f>
        <v/>
      </c>
      <c r="M41" s="29">
        <f>IF(G$42=0,0,G41/G$42)</f>
        <v/>
      </c>
    </row>
    <row r="42">
      <c r="B42" s="30" t="inlineStr">
        <is>
          <t>Total</t>
        </is>
      </c>
      <c r="C42" s="31">
        <f>SUM(C33:C41)</f>
        <v/>
      </c>
      <c r="D42" s="31">
        <f>SUM(D33:D41)</f>
        <v/>
      </c>
      <c r="E42" s="31">
        <f>SUM(E33:E41)</f>
        <v/>
      </c>
      <c r="F42" s="31">
        <f>SUM(F33:F41)</f>
        <v/>
      </c>
      <c r="G42" s="31">
        <f>SUM(G33:G41)</f>
        <v/>
      </c>
      <c r="I42" s="32">
        <f>SUM(I33:I41)</f>
        <v/>
      </c>
      <c r="J42" s="32">
        <f>SUM(J33:J41)</f>
        <v/>
      </c>
      <c r="K42" s="32">
        <f>SUM(K33:K41)</f>
        <v/>
      </c>
      <c r="L42" s="32">
        <f>SUM(L33:L41)</f>
        <v/>
      </c>
      <c r="M42" s="32">
        <f>SUM(M33:M41)</f>
        <v/>
      </c>
    </row>
    <row r="45">
      <c r="A45" s="12" t="inlineStr">
        <is>
          <t>FREE SPINS DU BONUS 2 (Super free spins)</t>
        </is>
      </c>
    </row>
    <row r="46">
      <c r="A46" s="5" t="inlineStr">
        <is>
          <t>Code</t>
        </is>
      </c>
      <c r="B46" s="5" t="inlineStr">
        <is>
          <t>Symbole</t>
        </is>
      </c>
      <c r="C46" s="5" t="inlineStr">
        <is>
          <t>R1</t>
        </is>
      </c>
      <c r="D46" s="5" t="inlineStr">
        <is>
          <t>R2</t>
        </is>
      </c>
      <c r="E46" s="5" t="inlineStr">
        <is>
          <t>R3</t>
        </is>
      </c>
      <c r="F46" s="5" t="inlineStr">
        <is>
          <t>R4</t>
        </is>
      </c>
      <c r="G46" s="5" t="inlineStr">
        <is>
          <t>R5</t>
        </is>
      </c>
      <c r="I46" s="5" t="inlineStr">
        <is>
          <t>P(R1)</t>
        </is>
      </c>
      <c r="J46" s="5" t="inlineStr">
        <is>
          <t>P(R2)</t>
        </is>
      </c>
      <c r="K46" s="5" t="inlineStr">
        <is>
          <t>P(R3)</t>
        </is>
      </c>
      <c r="L46" s="5" t="inlineStr">
        <is>
          <t>P(R4)</t>
        </is>
      </c>
      <c r="M46" s="5" t="inlineStr">
        <is>
          <t>P(R5)</t>
        </is>
      </c>
    </row>
    <row r="47">
      <c r="A47" s="27">
        <f>Paytable!A4</f>
        <v/>
      </c>
      <c r="B47" s="27">
        <f>Paytable!B4</f>
        <v/>
      </c>
      <c r="C47" s="19" t="n">
        <v>2500</v>
      </c>
      <c r="D47" s="19" t="n">
        <v>2500</v>
      </c>
      <c r="E47" s="19" t="n">
        <v>2500</v>
      </c>
      <c r="F47" s="19" t="n">
        <v>2500</v>
      </c>
      <c r="G47" s="19" t="n">
        <v>2500</v>
      </c>
      <c r="I47" s="29">
        <f>IF(C$56=0,0,C47/C$56)</f>
        <v/>
      </c>
      <c r="J47" s="29">
        <f>IF(D$56=0,0,D47/D$56)</f>
        <v/>
      </c>
      <c r="K47" s="29">
        <f>IF(E$56=0,0,E47/E$56)</f>
        <v/>
      </c>
      <c r="L47" s="29">
        <f>IF(F$56=0,0,F47/F$56)</f>
        <v/>
      </c>
      <c r="M47" s="29">
        <f>IF(G$56=0,0,G47/G$56)</f>
        <v/>
      </c>
    </row>
    <row r="48">
      <c r="A48" s="27">
        <f>Paytable!A5</f>
        <v/>
      </c>
      <c r="B48" s="27">
        <f>Paytable!B5</f>
        <v/>
      </c>
      <c r="C48" s="19" t="n">
        <v>3800</v>
      </c>
      <c r="D48" s="19" t="n">
        <v>3800</v>
      </c>
      <c r="E48" s="19" t="n">
        <v>3800</v>
      </c>
      <c r="F48" s="19" t="n">
        <v>3800</v>
      </c>
      <c r="G48" s="19" t="n">
        <v>3800</v>
      </c>
      <c r="I48" s="29">
        <f>IF(C$56=0,0,C48/C$56)</f>
        <v/>
      </c>
      <c r="J48" s="29">
        <f>IF(D$56=0,0,D48/D$56)</f>
        <v/>
      </c>
      <c r="K48" s="29">
        <f>IF(E$56=0,0,E48/E$56)</f>
        <v/>
      </c>
      <c r="L48" s="29">
        <f>IF(F$56=0,0,F48/F$56)</f>
        <v/>
      </c>
      <c r="M48" s="29">
        <f>IF(G$56=0,0,G48/G$56)</f>
        <v/>
      </c>
    </row>
    <row r="49">
      <c r="A49" s="27">
        <f>Paytable!A6</f>
        <v/>
      </c>
      <c r="B49" s="27">
        <f>Paytable!B6</f>
        <v/>
      </c>
      <c r="C49" s="19" t="n">
        <v>5200</v>
      </c>
      <c r="D49" s="19" t="n">
        <v>5200</v>
      </c>
      <c r="E49" s="19" t="n">
        <v>5200</v>
      </c>
      <c r="F49" s="19" t="n">
        <v>5200</v>
      </c>
      <c r="G49" s="19" t="n">
        <v>5200</v>
      </c>
      <c r="I49" s="29">
        <f>IF(C$56=0,0,C49/C$56)</f>
        <v/>
      </c>
      <c r="J49" s="29">
        <f>IF(D$56=0,0,D49/D$56)</f>
        <v/>
      </c>
      <c r="K49" s="29">
        <f>IF(E$56=0,0,E49/E$56)</f>
        <v/>
      </c>
      <c r="L49" s="29">
        <f>IF(F$56=0,0,F49/F$56)</f>
        <v/>
      </c>
      <c r="M49" s="29">
        <f>IF(G$56=0,0,G49/G$56)</f>
        <v/>
      </c>
    </row>
    <row r="50">
      <c r="A50" s="27">
        <f>Paytable!A7</f>
        <v/>
      </c>
      <c r="B50" s="27">
        <f>Paytable!B7</f>
        <v/>
      </c>
      <c r="C50" s="19" t="n">
        <v>7500</v>
      </c>
      <c r="D50" s="19" t="n">
        <v>7500</v>
      </c>
      <c r="E50" s="19" t="n">
        <v>7500</v>
      </c>
      <c r="F50" s="19" t="n">
        <v>7500</v>
      </c>
      <c r="G50" s="19" t="n">
        <v>7500</v>
      </c>
      <c r="I50" s="29">
        <f>IF(C$56=0,0,C50/C$56)</f>
        <v/>
      </c>
      <c r="J50" s="29">
        <f>IF(D$56=0,0,D50/D$56)</f>
        <v/>
      </c>
      <c r="K50" s="29">
        <f>IF(E$56=0,0,E50/E$56)</f>
        <v/>
      </c>
      <c r="L50" s="29">
        <f>IF(F$56=0,0,F50/F$56)</f>
        <v/>
      </c>
      <c r="M50" s="29">
        <f>IF(G$56=0,0,G50/G$56)</f>
        <v/>
      </c>
    </row>
    <row r="51">
      <c r="A51" s="27">
        <f>Paytable!A8</f>
        <v/>
      </c>
      <c r="B51" s="27">
        <f>Paytable!B8</f>
        <v/>
      </c>
      <c r="C51" s="19" t="n">
        <v>12500</v>
      </c>
      <c r="D51" s="19" t="n">
        <v>12500</v>
      </c>
      <c r="E51" s="19" t="n">
        <v>12500</v>
      </c>
      <c r="F51" s="19" t="n">
        <v>12500</v>
      </c>
      <c r="G51" s="19" t="n">
        <v>12500</v>
      </c>
      <c r="I51" s="29">
        <f>IF(C$56=0,0,C51/C$56)</f>
        <v/>
      </c>
      <c r="J51" s="29">
        <f>IF(D$56=0,0,D51/D$56)</f>
        <v/>
      </c>
      <c r="K51" s="29">
        <f>IF(E$56=0,0,E51/E$56)</f>
        <v/>
      </c>
      <c r="L51" s="29">
        <f>IF(F$56=0,0,F51/F$56)</f>
        <v/>
      </c>
      <c r="M51" s="29">
        <f>IF(G$56=0,0,G51/G$56)</f>
        <v/>
      </c>
    </row>
    <row r="52">
      <c r="A52" s="27">
        <f>Paytable!A9</f>
        <v/>
      </c>
      <c r="B52" s="27">
        <f>Paytable!B9</f>
        <v/>
      </c>
      <c r="C52" s="19" t="n">
        <v>14000</v>
      </c>
      <c r="D52" s="19" t="n">
        <v>14000</v>
      </c>
      <c r="E52" s="19" t="n">
        <v>14000</v>
      </c>
      <c r="F52" s="19" t="n">
        <v>14000</v>
      </c>
      <c r="G52" s="19" t="n">
        <v>14000</v>
      </c>
      <c r="I52" s="29">
        <f>IF(C$56=0,0,C52/C$56)</f>
        <v/>
      </c>
      <c r="J52" s="29">
        <f>IF(D$56=0,0,D52/D$56)</f>
        <v/>
      </c>
      <c r="K52" s="29">
        <f>IF(E$56=0,0,E52/E$56)</f>
        <v/>
      </c>
      <c r="L52" s="29">
        <f>IF(F$56=0,0,F52/F$56)</f>
        <v/>
      </c>
      <c r="M52" s="29">
        <f>IF(G$56=0,0,G52/G$56)</f>
        <v/>
      </c>
    </row>
    <row r="53">
      <c r="A53" s="27">
        <f>Paytable!A10</f>
        <v/>
      </c>
      <c r="B53" s="27">
        <f>Paytable!B10</f>
        <v/>
      </c>
      <c r="C53" s="19" t="n">
        <v>15500</v>
      </c>
      <c r="D53" s="19" t="n">
        <v>15500</v>
      </c>
      <c r="E53" s="19" t="n">
        <v>15500</v>
      </c>
      <c r="F53" s="19" t="n">
        <v>15500</v>
      </c>
      <c r="G53" s="19" t="n">
        <v>15500</v>
      </c>
      <c r="I53" s="29">
        <f>IF(C$56=0,0,C53/C$56)</f>
        <v/>
      </c>
      <c r="J53" s="29">
        <f>IF(D$56=0,0,D53/D$56)</f>
        <v/>
      </c>
      <c r="K53" s="29">
        <f>IF(E$56=0,0,E53/E$56)</f>
        <v/>
      </c>
      <c r="L53" s="29">
        <f>IF(F$56=0,0,F53/F$56)</f>
        <v/>
      </c>
      <c r="M53" s="29">
        <f>IF(G$56=0,0,G53/G$56)</f>
        <v/>
      </c>
    </row>
    <row r="54">
      <c r="A54" s="27">
        <f>Paytable!A11</f>
        <v/>
      </c>
      <c r="B54" s="27">
        <f>Paytable!B11</f>
        <v/>
      </c>
      <c r="C54" s="19" t="n">
        <v>1400</v>
      </c>
      <c r="D54" s="19" t="n">
        <v>1400</v>
      </c>
      <c r="E54" s="19" t="n">
        <v>1400</v>
      </c>
      <c r="F54" s="19" t="n">
        <v>1400</v>
      </c>
      <c r="G54" s="19" t="n">
        <v>1400</v>
      </c>
      <c r="I54" s="29">
        <f>IF(C$56=0,0,C54/C$56)</f>
        <v/>
      </c>
      <c r="J54" s="29">
        <f>IF(D$56=0,0,D54/D$56)</f>
        <v/>
      </c>
      <c r="K54" s="29">
        <f>IF(E$56=0,0,E54/E$56)</f>
        <v/>
      </c>
      <c r="L54" s="29">
        <f>IF(F$56=0,0,F54/F$56)</f>
        <v/>
      </c>
      <c r="M54" s="29">
        <f>IF(G$56=0,0,G54/G$56)</f>
        <v/>
      </c>
    </row>
    <row r="55">
      <c r="A55" s="27">
        <f>Paytable!A12</f>
        <v/>
      </c>
      <c r="B55" s="27">
        <f>Paytable!B12</f>
        <v/>
      </c>
      <c r="C55" s="19" t="n">
        <v>16</v>
      </c>
      <c r="D55" s="19" t="n">
        <v>16</v>
      </c>
      <c r="E55" s="19" t="n">
        <v>16</v>
      </c>
      <c r="F55" s="19" t="n">
        <v>16</v>
      </c>
      <c r="G55" s="19" t="n">
        <v>16</v>
      </c>
      <c r="I55" s="29">
        <f>IF(C$56=0,0,C55/C$56)</f>
        <v/>
      </c>
      <c r="J55" s="29">
        <f>IF(D$56=0,0,D55/D$56)</f>
        <v/>
      </c>
      <c r="K55" s="29">
        <f>IF(E$56=0,0,E55/E$56)</f>
        <v/>
      </c>
      <c r="L55" s="29">
        <f>IF(F$56=0,0,F55/F$56)</f>
        <v/>
      </c>
      <c r="M55" s="29">
        <f>IF(G$56=0,0,G55/G$56)</f>
        <v/>
      </c>
    </row>
    <row r="56">
      <c r="B56" s="30" t="inlineStr">
        <is>
          <t>Total</t>
        </is>
      </c>
      <c r="C56" s="31">
        <f>SUM(C47:C55)</f>
        <v/>
      </c>
      <c r="D56" s="31">
        <f>SUM(D47:D55)</f>
        <v/>
      </c>
      <c r="E56" s="31">
        <f>SUM(E47:E55)</f>
        <v/>
      </c>
      <c r="F56" s="31">
        <f>SUM(F47:F55)</f>
        <v/>
      </c>
      <c r="G56" s="31">
        <f>SUM(G47:G55)</f>
        <v/>
      </c>
      <c r="I56" s="32">
        <f>SUM(I47:I55)</f>
        <v/>
      </c>
      <c r="J56" s="32">
        <f>SUM(J47:J55)</f>
        <v/>
      </c>
      <c r="K56" s="32">
        <f>SUM(K47:K55)</f>
        <v/>
      </c>
      <c r="L56" s="32">
        <f>SUM(L47:L55)</f>
        <v/>
      </c>
      <c r="M56" s="32">
        <f>SUM(M47:M55)</f>
        <v/>
      </c>
    </row>
    <row r="59">
      <c r="A59" s="12" t="inlineStr">
        <is>
          <t>FREE SPINS DU BONUS 3 (Bonus caché)</t>
        </is>
      </c>
    </row>
    <row r="60">
      <c r="A60" s="5" t="inlineStr">
        <is>
          <t>Code</t>
        </is>
      </c>
      <c r="B60" s="5" t="inlineStr">
        <is>
          <t>Symbole</t>
        </is>
      </c>
      <c r="C60" s="5" t="inlineStr">
        <is>
          <t>R1</t>
        </is>
      </c>
      <c r="D60" s="5" t="inlineStr">
        <is>
          <t>R2</t>
        </is>
      </c>
      <c r="E60" s="5" t="inlineStr">
        <is>
          <t>R3</t>
        </is>
      </c>
      <c r="F60" s="5" t="inlineStr">
        <is>
          <t>R4</t>
        </is>
      </c>
      <c r="G60" s="5" t="inlineStr">
        <is>
          <t>R5</t>
        </is>
      </c>
      <c r="I60" s="5" t="inlineStr">
        <is>
          <t>P(R1)</t>
        </is>
      </c>
      <c r="J60" s="5" t="inlineStr">
        <is>
          <t>P(R2)</t>
        </is>
      </c>
      <c r="K60" s="5" t="inlineStr">
        <is>
          <t>P(R3)</t>
        </is>
      </c>
      <c r="L60" s="5" t="inlineStr">
        <is>
          <t>P(R4)</t>
        </is>
      </c>
      <c r="M60" s="5" t="inlineStr">
        <is>
          <t>P(R5)</t>
        </is>
      </c>
    </row>
    <row r="61">
      <c r="A61" s="27">
        <f>Paytable!A4</f>
        <v/>
      </c>
      <c r="B61" s="27">
        <f>Paytable!B4</f>
        <v/>
      </c>
      <c r="C61" s="19" t="n">
        <v>2500</v>
      </c>
      <c r="D61" s="19" t="n">
        <v>2500</v>
      </c>
      <c r="E61" s="19" t="n">
        <v>2500</v>
      </c>
      <c r="F61" s="19" t="n">
        <v>2500</v>
      </c>
      <c r="G61" s="19" t="n">
        <v>2500</v>
      </c>
      <c r="I61" s="29">
        <f>IF(C$70=0,0,C61/C$70)</f>
        <v/>
      </c>
      <c r="J61" s="29">
        <f>IF(D$70=0,0,D61/D$70)</f>
        <v/>
      </c>
      <c r="K61" s="29">
        <f>IF(E$70=0,0,E61/E$70)</f>
        <v/>
      </c>
      <c r="L61" s="29">
        <f>IF(F$70=0,0,F61/F$70)</f>
        <v/>
      </c>
      <c r="M61" s="29">
        <f>IF(G$70=0,0,G61/G$70)</f>
        <v/>
      </c>
    </row>
    <row r="62">
      <c r="A62" s="27">
        <f>Paytable!A5</f>
        <v/>
      </c>
      <c r="B62" s="27">
        <f>Paytable!B5</f>
        <v/>
      </c>
      <c r="C62" s="19" t="n">
        <v>3800</v>
      </c>
      <c r="D62" s="19" t="n">
        <v>3800</v>
      </c>
      <c r="E62" s="19" t="n">
        <v>3800</v>
      </c>
      <c r="F62" s="19" t="n">
        <v>3800</v>
      </c>
      <c r="G62" s="19" t="n">
        <v>3800</v>
      </c>
      <c r="I62" s="29">
        <f>IF(C$70=0,0,C62/C$70)</f>
        <v/>
      </c>
      <c r="J62" s="29">
        <f>IF(D$70=0,0,D62/D$70)</f>
        <v/>
      </c>
      <c r="K62" s="29">
        <f>IF(E$70=0,0,E62/E$70)</f>
        <v/>
      </c>
      <c r="L62" s="29">
        <f>IF(F$70=0,0,F62/F$70)</f>
        <v/>
      </c>
      <c r="M62" s="29">
        <f>IF(G$70=0,0,G62/G$70)</f>
        <v/>
      </c>
    </row>
    <row r="63">
      <c r="A63" s="27">
        <f>Paytable!A6</f>
        <v/>
      </c>
      <c r="B63" s="27">
        <f>Paytable!B6</f>
        <v/>
      </c>
      <c r="C63" s="19" t="n">
        <v>5200</v>
      </c>
      <c r="D63" s="19" t="n">
        <v>5200</v>
      </c>
      <c r="E63" s="19" t="n">
        <v>5200</v>
      </c>
      <c r="F63" s="19" t="n">
        <v>5200</v>
      </c>
      <c r="G63" s="19" t="n">
        <v>5200</v>
      </c>
      <c r="I63" s="29">
        <f>IF(C$70=0,0,C63/C$70)</f>
        <v/>
      </c>
      <c r="J63" s="29">
        <f>IF(D$70=0,0,D63/D$70)</f>
        <v/>
      </c>
      <c r="K63" s="29">
        <f>IF(E$70=0,0,E63/E$70)</f>
        <v/>
      </c>
      <c r="L63" s="29">
        <f>IF(F$70=0,0,F63/F$70)</f>
        <v/>
      </c>
      <c r="M63" s="29">
        <f>IF(G$70=0,0,G63/G$70)</f>
        <v/>
      </c>
    </row>
    <row r="64">
      <c r="A64" s="27">
        <f>Paytable!A7</f>
        <v/>
      </c>
      <c r="B64" s="27">
        <f>Paytable!B7</f>
        <v/>
      </c>
      <c r="C64" s="19" t="n">
        <v>7500</v>
      </c>
      <c r="D64" s="19" t="n">
        <v>7500</v>
      </c>
      <c r="E64" s="19" t="n">
        <v>7500</v>
      </c>
      <c r="F64" s="19" t="n">
        <v>7500</v>
      </c>
      <c r="G64" s="19" t="n">
        <v>7500</v>
      </c>
      <c r="I64" s="29">
        <f>IF(C$70=0,0,C64/C$70)</f>
        <v/>
      </c>
      <c r="J64" s="29">
        <f>IF(D$70=0,0,D64/D$70)</f>
        <v/>
      </c>
      <c r="K64" s="29">
        <f>IF(E$70=0,0,E64/E$70)</f>
        <v/>
      </c>
      <c r="L64" s="29">
        <f>IF(F$70=0,0,F64/F$70)</f>
        <v/>
      </c>
      <c r="M64" s="29">
        <f>IF(G$70=0,0,G64/G$70)</f>
        <v/>
      </c>
    </row>
    <row r="65">
      <c r="A65" s="27">
        <f>Paytable!A8</f>
        <v/>
      </c>
      <c r="B65" s="27">
        <f>Paytable!B8</f>
        <v/>
      </c>
      <c r="C65" s="19" t="n">
        <v>12500</v>
      </c>
      <c r="D65" s="19" t="n">
        <v>12500</v>
      </c>
      <c r="E65" s="19" t="n">
        <v>12500</v>
      </c>
      <c r="F65" s="19" t="n">
        <v>12500</v>
      </c>
      <c r="G65" s="19" t="n">
        <v>12500</v>
      </c>
      <c r="I65" s="29">
        <f>IF(C$70=0,0,C65/C$70)</f>
        <v/>
      </c>
      <c r="J65" s="29">
        <f>IF(D$70=0,0,D65/D$70)</f>
        <v/>
      </c>
      <c r="K65" s="29">
        <f>IF(E$70=0,0,E65/E$70)</f>
        <v/>
      </c>
      <c r="L65" s="29">
        <f>IF(F$70=0,0,F65/F$70)</f>
        <v/>
      </c>
      <c r="M65" s="29">
        <f>IF(G$70=0,0,G65/G$70)</f>
        <v/>
      </c>
    </row>
    <row r="66">
      <c r="A66" s="27">
        <f>Paytable!A9</f>
        <v/>
      </c>
      <c r="B66" s="27">
        <f>Paytable!B9</f>
        <v/>
      </c>
      <c r="C66" s="19" t="n">
        <v>14000</v>
      </c>
      <c r="D66" s="19" t="n">
        <v>14000</v>
      </c>
      <c r="E66" s="19" t="n">
        <v>14000</v>
      </c>
      <c r="F66" s="19" t="n">
        <v>14000</v>
      </c>
      <c r="G66" s="19" t="n">
        <v>14000</v>
      </c>
      <c r="I66" s="29">
        <f>IF(C$70=0,0,C66/C$70)</f>
        <v/>
      </c>
      <c r="J66" s="29">
        <f>IF(D$70=0,0,D66/D$70)</f>
        <v/>
      </c>
      <c r="K66" s="29">
        <f>IF(E$70=0,0,E66/E$70)</f>
        <v/>
      </c>
      <c r="L66" s="29">
        <f>IF(F$70=0,0,F66/F$70)</f>
        <v/>
      </c>
      <c r="M66" s="29">
        <f>IF(G$70=0,0,G66/G$70)</f>
        <v/>
      </c>
    </row>
    <row r="67">
      <c r="A67" s="27">
        <f>Paytable!A10</f>
        <v/>
      </c>
      <c r="B67" s="27">
        <f>Paytable!B10</f>
        <v/>
      </c>
      <c r="C67" s="19" t="n">
        <v>15500</v>
      </c>
      <c r="D67" s="19" t="n">
        <v>15500</v>
      </c>
      <c r="E67" s="19" t="n">
        <v>15500</v>
      </c>
      <c r="F67" s="19" t="n">
        <v>15500</v>
      </c>
      <c r="G67" s="19" t="n">
        <v>15500</v>
      </c>
      <c r="I67" s="29">
        <f>IF(C$70=0,0,C67/C$70)</f>
        <v/>
      </c>
      <c r="J67" s="29">
        <f>IF(D$70=0,0,D67/D$70)</f>
        <v/>
      </c>
      <c r="K67" s="29">
        <f>IF(E$70=0,0,E67/E$70)</f>
        <v/>
      </c>
      <c r="L67" s="29">
        <f>IF(F$70=0,0,F67/F$70)</f>
        <v/>
      </c>
      <c r="M67" s="29">
        <f>IF(G$70=0,0,G67/G$70)</f>
        <v/>
      </c>
    </row>
    <row r="68">
      <c r="A68" s="27">
        <f>Paytable!A11</f>
        <v/>
      </c>
      <c r="B68" s="27">
        <f>Paytable!B11</f>
        <v/>
      </c>
      <c r="C68" s="19" t="n">
        <v>400</v>
      </c>
      <c r="D68" s="19" t="n">
        <v>400</v>
      </c>
      <c r="E68" s="19" t="n">
        <v>400</v>
      </c>
      <c r="F68" s="19" t="n">
        <v>400</v>
      </c>
      <c r="G68" s="19" t="n">
        <v>400</v>
      </c>
      <c r="I68" s="29">
        <f>IF(C$70=0,0,C68/C$70)</f>
        <v/>
      </c>
      <c r="J68" s="29">
        <f>IF(D$70=0,0,D68/D$70)</f>
        <v/>
      </c>
      <c r="K68" s="29">
        <f>IF(E$70=0,0,E68/E$70)</f>
        <v/>
      </c>
      <c r="L68" s="29">
        <f>IF(F$70=0,0,F68/F$70)</f>
        <v/>
      </c>
      <c r="M68" s="29">
        <f>IF(G$70=0,0,G68/G$70)</f>
        <v/>
      </c>
    </row>
    <row r="69">
      <c r="A69" s="27">
        <f>Paytable!A12</f>
        <v/>
      </c>
      <c r="B69" s="27">
        <f>Paytable!B12</f>
        <v/>
      </c>
      <c r="C69" s="19" t="n">
        <v>2</v>
      </c>
      <c r="D69" s="19" t="n">
        <v>2</v>
      </c>
      <c r="E69" s="19" t="n">
        <v>2</v>
      </c>
      <c r="F69" s="19" t="n">
        <v>2</v>
      </c>
      <c r="G69" s="19" t="n">
        <v>2</v>
      </c>
      <c r="I69" s="29">
        <f>IF(C$70=0,0,C69/C$70)</f>
        <v/>
      </c>
      <c r="J69" s="29">
        <f>IF(D$70=0,0,D69/D$70)</f>
        <v/>
      </c>
      <c r="K69" s="29">
        <f>IF(E$70=0,0,E69/E$70)</f>
        <v/>
      </c>
      <c r="L69" s="29">
        <f>IF(F$70=0,0,F69/F$70)</f>
        <v/>
      </c>
      <c r="M69" s="29">
        <f>IF(G$70=0,0,G69/G$70)</f>
        <v/>
      </c>
    </row>
    <row r="70">
      <c r="B70" s="30" t="inlineStr">
        <is>
          <t>Total</t>
        </is>
      </c>
      <c r="C70" s="31">
        <f>SUM(C61:C69)</f>
        <v/>
      </c>
      <c r="D70" s="31">
        <f>SUM(D61:D69)</f>
        <v/>
      </c>
      <c r="E70" s="31">
        <f>SUM(E61:E69)</f>
        <v/>
      </c>
      <c r="F70" s="31">
        <f>SUM(F61:F69)</f>
        <v/>
      </c>
      <c r="G70" s="31">
        <f>SUM(G61:G69)</f>
        <v/>
      </c>
      <c r="I70" s="32">
        <f>SUM(I61:I69)</f>
        <v/>
      </c>
      <c r="J70" s="32">
        <f>SUM(J61:J69)</f>
        <v/>
      </c>
      <c r="K70" s="32">
        <f>SUM(K61:K69)</f>
        <v/>
      </c>
      <c r="L70" s="32">
        <f>SUM(L61:L69)</f>
        <v/>
      </c>
      <c r="M70" s="32">
        <f>SUM(M61:M69)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Multiplicateurs qui apparaissent autour du globe</t>
        </is>
      </c>
    </row>
    <row r="2">
      <c r="A2" s="4" t="inlineStr">
        <is>
          <t>Chaque case voisine d'un globe reçoit une valeur tirée selon ces poids.</t>
        </is>
      </c>
    </row>
    <row r="4">
      <c r="A4" s="5" t="inlineStr">
        <is>
          <t>Valeur</t>
        </is>
      </c>
      <c r="B4" s="5" t="inlineStr">
        <is>
          <t>Poids base / boost</t>
        </is>
      </c>
      <c r="C4" s="5" t="inlineStr">
        <is>
          <t>Poids bonus 1</t>
        </is>
      </c>
      <c r="D4" s="5" t="inlineStr">
        <is>
          <t>Poids bonus 2</t>
        </is>
      </c>
      <c r="E4" s="5" t="inlineStr">
        <is>
          <t>Poids bonus 3</t>
        </is>
      </c>
      <c r="F4" s="5" t="inlineStr">
        <is>
          <t>P base / boost</t>
        </is>
      </c>
      <c r="G4" s="5" t="inlineStr">
        <is>
          <t>P bonus 1</t>
        </is>
      </c>
      <c r="H4" s="5" t="inlineStr">
        <is>
          <t>P bonus 2</t>
        </is>
      </c>
      <c r="I4" s="5" t="inlineStr">
        <is>
          <t>P bonus 3</t>
        </is>
      </c>
    </row>
    <row r="5">
      <c r="A5" s="50" t="n">
        <v>1</v>
      </c>
      <c r="B5" s="19" t="n">
        <v>300</v>
      </c>
      <c r="C5" s="19" t="n">
        <v>150</v>
      </c>
      <c r="D5" s="19" t="n">
        <v>60</v>
      </c>
      <c r="E5" s="19" t="n">
        <v>500</v>
      </c>
      <c r="F5" s="29">
        <f>IF($B$14=0,0,B5/$B$14)</f>
        <v/>
      </c>
      <c r="G5" s="29">
        <f>IF($C$14=0,0,C5/$C$14)</f>
        <v/>
      </c>
      <c r="H5" s="29">
        <f>IF($D$14=0,0,D5/$D$14)</f>
        <v/>
      </c>
      <c r="I5" s="29">
        <f>IF($E$14=0,0,E5/$E$14)</f>
        <v/>
      </c>
    </row>
    <row r="6">
      <c r="A6" s="50" t="n">
        <v>2</v>
      </c>
      <c r="B6" s="19" t="n">
        <v>400</v>
      </c>
      <c r="C6" s="19" t="n">
        <v>300</v>
      </c>
      <c r="D6" s="19" t="n">
        <v>200</v>
      </c>
      <c r="E6" s="19" t="n">
        <v>350</v>
      </c>
      <c r="F6" s="29">
        <f>IF($B$14=0,0,B6/$B$14)</f>
        <v/>
      </c>
      <c r="G6" s="29">
        <f>IF($C$14=0,0,C6/$C$14)</f>
        <v/>
      </c>
      <c r="H6" s="29">
        <f>IF($D$14=0,0,D6/$D$14)</f>
        <v/>
      </c>
      <c r="I6" s="29">
        <f>IF($E$14=0,0,E6/$E$14)</f>
        <v/>
      </c>
    </row>
    <row r="7">
      <c r="A7" s="50" t="n">
        <v>3</v>
      </c>
      <c r="B7" s="19" t="n">
        <v>200</v>
      </c>
      <c r="C7" s="19" t="n">
        <v>250</v>
      </c>
      <c r="D7" s="19" t="n">
        <v>250</v>
      </c>
      <c r="E7" s="19" t="n">
        <v>120</v>
      </c>
      <c r="F7" s="29">
        <f>IF($B$14=0,0,B7/$B$14)</f>
        <v/>
      </c>
      <c r="G7" s="29">
        <f>IF($C$14=0,0,C7/$C$14)</f>
        <v/>
      </c>
      <c r="H7" s="29">
        <f>IF($D$14=0,0,D7/$D$14)</f>
        <v/>
      </c>
      <c r="I7" s="29">
        <f>IF($E$14=0,0,E7/$E$14)</f>
        <v/>
      </c>
    </row>
    <row r="8">
      <c r="A8" s="50" t="n">
        <v>4</v>
      </c>
      <c r="B8" s="19" t="n">
        <v>60</v>
      </c>
      <c r="C8" s="19" t="n">
        <v>120</v>
      </c>
      <c r="D8" s="19" t="n">
        <v>160</v>
      </c>
      <c r="E8" s="19" t="n">
        <v>25</v>
      </c>
      <c r="F8" s="29">
        <f>IF($B$14=0,0,B8/$B$14)</f>
        <v/>
      </c>
      <c r="G8" s="29">
        <f>IF($C$14=0,0,C8/$C$14)</f>
        <v/>
      </c>
      <c r="H8" s="29">
        <f>IF($D$14=0,0,D8/$D$14)</f>
        <v/>
      </c>
      <c r="I8" s="29">
        <f>IF($E$14=0,0,E8/$E$14)</f>
        <v/>
      </c>
    </row>
    <row r="9">
      <c r="A9" s="50" t="n">
        <v>5</v>
      </c>
      <c r="B9" s="19" t="n">
        <v>30</v>
      </c>
      <c r="C9" s="19" t="n">
        <v>90</v>
      </c>
      <c r="D9" s="19" t="n">
        <v>130</v>
      </c>
      <c r="E9" s="19" t="n">
        <v>5</v>
      </c>
      <c r="F9" s="29">
        <f>IF($B$14=0,0,B9/$B$14)</f>
        <v/>
      </c>
      <c r="G9" s="29">
        <f>IF($C$14=0,0,C9/$C$14)</f>
        <v/>
      </c>
      <c r="H9" s="29">
        <f>IF($D$14=0,0,D9/$D$14)</f>
        <v/>
      </c>
      <c r="I9" s="29">
        <f>IF($E$14=0,0,E9/$E$14)</f>
        <v/>
      </c>
    </row>
    <row r="10">
      <c r="A10" s="50" t="n">
        <v>10</v>
      </c>
      <c r="B10" s="19" t="n">
        <v>8</v>
      </c>
      <c r="C10" s="19" t="n">
        <v>50</v>
      </c>
      <c r="D10" s="19" t="n">
        <v>80</v>
      </c>
      <c r="E10" s="19" t="n">
        <v>0</v>
      </c>
      <c r="F10" s="29">
        <f>IF($B$14=0,0,B10/$B$14)</f>
        <v/>
      </c>
      <c r="G10" s="29">
        <f>IF($C$14=0,0,C10/$C$14)</f>
        <v/>
      </c>
      <c r="H10" s="29">
        <f>IF($D$14=0,0,D10/$D$14)</f>
        <v/>
      </c>
      <c r="I10" s="29">
        <f>IF($E$14=0,0,E10/$E$14)</f>
        <v/>
      </c>
    </row>
    <row r="11">
      <c r="A11" s="50" t="n">
        <v>20</v>
      </c>
      <c r="B11" s="19" t="n">
        <v>2</v>
      </c>
      <c r="C11" s="19" t="n">
        <v>20</v>
      </c>
      <c r="D11" s="19" t="n">
        <v>35</v>
      </c>
      <c r="E11" s="19" t="n">
        <v>0</v>
      </c>
      <c r="F11" s="29">
        <f>IF($B$14=0,0,B11/$B$14)</f>
        <v/>
      </c>
      <c r="G11" s="29">
        <f>IF($C$14=0,0,C11/$C$14)</f>
        <v/>
      </c>
      <c r="H11" s="29">
        <f>IF($D$14=0,0,D11/$D$14)</f>
        <v/>
      </c>
      <c r="I11" s="29">
        <f>IF($E$14=0,0,E11/$E$14)</f>
        <v/>
      </c>
    </row>
    <row r="12">
      <c r="A12" s="50" t="n">
        <v>50</v>
      </c>
      <c r="B12" s="19" t="n">
        <v>0</v>
      </c>
      <c r="C12" s="19" t="n">
        <v>5</v>
      </c>
      <c r="D12" s="19" t="n">
        <v>10</v>
      </c>
      <c r="E12" s="19" t="n">
        <v>0</v>
      </c>
      <c r="F12" s="29">
        <f>IF($B$14=0,0,B12/$B$14)</f>
        <v/>
      </c>
      <c r="G12" s="29">
        <f>IF($C$14=0,0,C12/$C$14)</f>
        <v/>
      </c>
      <c r="H12" s="29">
        <f>IF($D$14=0,0,D12/$D$14)</f>
        <v/>
      </c>
      <c r="I12" s="29">
        <f>IF($E$14=0,0,E12/$E$14)</f>
        <v/>
      </c>
    </row>
    <row r="13">
      <c r="A13" s="50" t="n">
        <v>100</v>
      </c>
      <c r="B13" s="19" t="n">
        <v>0</v>
      </c>
      <c r="C13" s="19" t="n">
        <v>0</v>
      </c>
      <c r="D13" s="19" t="n">
        <v>2</v>
      </c>
      <c r="E13" s="19" t="n">
        <v>0</v>
      </c>
      <c r="F13" s="29">
        <f>IF($B$14=0,0,B13/$B$14)</f>
        <v/>
      </c>
      <c r="G13" s="29">
        <f>IF($C$14=0,0,C13/$C$14)</f>
        <v/>
      </c>
      <c r="H13" s="29">
        <f>IF($D$14=0,0,D13/$D$14)</f>
        <v/>
      </c>
      <c r="I13" s="29">
        <f>IF($E$14=0,0,E13/$E$14)</f>
        <v/>
      </c>
    </row>
    <row r="14">
      <c r="A14" s="30" t="inlineStr">
        <is>
          <t>Total</t>
        </is>
      </c>
      <c r="B14" s="31">
        <f>SUM(B5:B13)</f>
        <v/>
      </c>
      <c r="C14" s="31">
        <f>SUM(C5:C13)</f>
        <v/>
      </c>
      <c r="D14" s="31">
        <f>SUM(D5:D13)</f>
        <v/>
      </c>
      <c r="E14" s="31">
        <f>SUM(E5:E13)</f>
        <v/>
      </c>
      <c r="F14" s="32">
        <f>SUM(F5:F13)</f>
        <v/>
      </c>
      <c r="G14" s="32">
        <f>SUM(G5:G13)</f>
        <v/>
      </c>
      <c r="H14" s="32">
        <f>SUM(H5:H13)</f>
        <v/>
      </c>
      <c r="I14" s="32">
        <f>SUM(I5:I13)</f>
        <v/>
      </c>
    </row>
    <row r="15">
      <c r="A15" s="30" t="inlineStr">
        <is>
          <t>Multi moyen</t>
        </is>
      </c>
      <c r="B15" s="33" t="inlineStr"/>
      <c r="C15" s="33" t="inlineStr"/>
      <c r="D15" s="33" t="inlineStr"/>
      <c r="E15" s="33" t="inlineStr"/>
      <c r="F15" s="52">
        <f>SUMPRODUCT($A$5:$A$13,F5:F13)</f>
        <v/>
      </c>
      <c r="G15" s="52">
        <f>SUMPRODUCT($A$5:$A$13,G5:G13)</f>
        <v/>
      </c>
      <c r="H15" s="52">
        <f>SUMPRODUCT($A$5:$A$13,H5:H13)</f>
        <v/>
      </c>
      <c r="I15" s="52">
        <f>SUMPRODUCT($A$5:$A$13,I5:I13)</f>
        <v/>
      </c>
    </row>
    <row r="17">
      <c r="A17" s="4" t="inlineStr">
        <is>
          <t>Les spins boostés utilisent les multis du jeu de base. Les valeurs et poids sont des valeurs de départ, à ajuster.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11" customWidth="1" min="9" max="9"/>
    <col width="11" customWidth="1" min="10" max="10"/>
    <col width="13" customWidth="1" min="11" max="11"/>
    <col width="10" customWidth="1" min="12" max="12"/>
  </cols>
  <sheetData>
    <row r="1">
      <c r="A1" s="1" t="inlineStr">
        <is>
          <t>Modes LINES / WAYS seulement : RTP analytique exact HORS globe/multis (en CLUSTER, voir Simulation)</t>
        </is>
      </c>
    </row>
    <row r="2">
      <c r="A2" s="4" t="inlineStr">
        <is>
          <t>WAYS : E[ways de longueur k] = Π(lignes × p_r, r ≤ k) × P(aucun sur le rouleau k+1). LINES : nb lignes × Π(p_r, r ≤ k) × (1 − p_{k+1}). Le globe et ses multis sont ajoutés par le simulateur.</t>
        </is>
      </c>
    </row>
    <row r="3">
      <c r="A3" s="12" t="inlineStr">
        <is>
          <t>JEU DE BASE — RTP par spin hors globe</t>
        </is>
      </c>
    </row>
    <row r="4">
      <c r="A4" s="5" t="inlineStr">
        <is>
          <t>Code</t>
        </is>
      </c>
      <c r="B4" s="5" t="inlineStr">
        <is>
          <t>Symbole</t>
        </is>
      </c>
      <c r="C4" s="5" t="inlineStr">
        <is>
          <t>p R1</t>
        </is>
      </c>
      <c r="D4" s="5" t="inlineStr">
        <is>
          <t>p R2</t>
        </is>
      </c>
      <c r="E4" s="5" t="inlineStr">
        <is>
          <t>p R3</t>
        </is>
      </c>
      <c r="F4" s="5" t="inlineStr">
        <is>
          <t>p R4</t>
        </is>
      </c>
      <c r="G4" s="5" t="inlineStr">
        <is>
          <t>p R5</t>
        </is>
      </c>
      <c r="H4" s="5" t="inlineStr">
        <is>
          <t>E[gains 3]</t>
        </is>
      </c>
      <c r="I4" s="5" t="inlineStr">
        <is>
          <t>E[gains 4]</t>
        </is>
      </c>
      <c r="J4" s="5" t="inlineStr">
        <is>
          <t>E[gains 5]</t>
        </is>
      </c>
      <c r="K4" s="5" t="inlineStr">
        <is>
          <t>RTP (x mise)</t>
        </is>
      </c>
      <c r="L4" s="5" t="inlineStr">
        <is>
          <t>% du bloc</t>
        </is>
      </c>
    </row>
    <row r="5">
      <c r="A5" s="27">
        <f>Paytable!A4</f>
        <v/>
      </c>
      <c r="B5" s="27">
        <f>Paytable!B4</f>
        <v/>
      </c>
      <c r="C5" s="35">
        <f>Poids!I5</f>
        <v/>
      </c>
      <c r="D5" s="35">
        <f>Poids!J5</f>
        <v/>
      </c>
      <c r="E5" s="35">
        <f>Poids!K5</f>
        <v/>
      </c>
      <c r="F5" s="35">
        <f>Poids!L5</f>
        <v/>
      </c>
      <c r="G5" s="35">
        <f>Poids!M5</f>
        <v/>
      </c>
      <c r="H5" s="53">
        <f>IF(MODE_GAIN="WAYS",NB_LIGNES^3*C5*D5*E5*((1-NB_LIGNES*Poids!$L$12)*(1-F5/(1-Poids!$L$12))^NB_LIGNES+NB_LIGNES*Poids!$L$12*(1-F5/(1-Poids!$L$12))^(NB_LIGNES-1)),NB_PAYLINES*C5*D5*E5*(1-F5))</f>
        <v/>
      </c>
      <c r="I5" s="53">
        <f>IF(MODE_GAIN="WAYS",NB_LIGNES^4*C5*D5*E5*F5*((1-NB_LIGNES*Poids!$M$12)*(1-G5/(1-Poids!$M$12))^NB_LIGNES+NB_LIGNES*Poids!$M$12*(1-G5/(1-Poids!$M$12))^(NB_LIGNES-1)),NB_PAYLINES*C5*D5*E5*F5*(1-G5))</f>
        <v/>
      </c>
      <c r="J5" s="53">
        <f>IF(MODE_GAIN="WAYS",NB_LIGNES^5,NB_PAYLINES)*C5*D5*E5*F5*G5</f>
        <v/>
      </c>
      <c r="K5" s="29">
        <f>Paytable!D4*H5+Paytable!E4*I5+Paytable!F4*J5</f>
        <v/>
      </c>
      <c r="L5" s="29">
        <f>IF($K$12=0,0,K5/$K$12)</f>
        <v/>
      </c>
    </row>
    <row r="6">
      <c r="A6" s="27">
        <f>Paytable!A5</f>
        <v/>
      </c>
      <c r="B6" s="27">
        <f>Paytable!B5</f>
        <v/>
      </c>
      <c r="C6" s="35">
        <f>Poids!I6</f>
        <v/>
      </c>
      <c r="D6" s="35">
        <f>Poids!J6</f>
        <v/>
      </c>
      <c r="E6" s="35">
        <f>Poids!K6</f>
        <v/>
      </c>
      <c r="F6" s="35">
        <f>Poids!L6</f>
        <v/>
      </c>
      <c r="G6" s="35">
        <f>Poids!M6</f>
        <v/>
      </c>
      <c r="H6" s="53">
        <f>IF(MODE_GAIN="WAYS",NB_LIGNES^3*C6*D6*E6*((1-NB_LIGNES*Poids!$L$12)*(1-F6/(1-Poids!$L$12))^NB_LIGNES+NB_LIGNES*Poids!$L$12*(1-F6/(1-Poids!$L$12))^(NB_LIGNES-1)),NB_PAYLINES*C6*D6*E6*(1-F6))</f>
        <v/>
      </c>
      <c r="I6" s="53">
        <f>IF(MODE_GAIN="WAYS",NB_LIGNES^4*C6*D6*E6*F6*((1-NB_LIGNES*Poids!$M$12)*(1-G6/(1-Poids!$M$12))^NB_LIGNES+NB_LIGNES*Poids!$M$12*(1-G6/(1-Poids!$M$12))^(NB_LIGNES-1)),NB_PAYLINES*C6*D6*E6*F6*(1-G6))</f>
        <v/>
      </c>
      <c r="J6" s="53">
        <f>IF(MODE_GAIN="WAYS",NB_LIGNES^5,NB_PAYLINES)*C6*D6*E6*F6*G6</f>
        <v/>
      </c>
      <c r="K6" s="29">
        <f>Paytable!D5*H6+Paytable!E5*I6+Paytable!F5*J6</f>
        <v/>
      </c>
      <c r="L6" s="29">
        <f>IF($K$12=0,0,K6/$K$12)</f>
        <v/>
      </c>
    </row>
    <row r="7">
      <c r="A7" s="27">
        <f>Paytable!A6</f>
        <v/>
      </c>
      <c r="B7" s="27">
        <f>Paytable!B6</f>
        <v/>
      </c>
      <c r="C7" s="35">
        <f>Poids!I7</f>
        <v/>
      </c>
      <c r="D7" s="35">
        <f>Poids!J7</f>
        <v/>
      </c>
      <c r="E7" s="35">
        <f>Poids!K7</f>
        <v/>
      </c>
      <c r="F7" s="35">
        <f>Poids!L7</f>
        <v/>
      </c>
      <c r="G7" s="35">
        <f>Poids!M7</f>
        <v/>
      </c>
      <c r="H7" s="53">
        <f>IF(MODE_GAIN="WAYS",NB_LIGNES^3*C7*D7*E7*((1-NB_LIGNES*Poids!$L$12)*(1-F7/(1-Poids!$L$12))^NB_LIGNES+NB_LIGNES*Poids!$L$12*(1-F7/(1-Poids!$L$12))^(NB_LIGNES-1)),NB_PAYLINES*C7*D7*E7*(1-F7))</f>
        <v/>
      </c>
      <c r="I7" s="53">
        <f>IF(MODE_GAIN="WAYS",NB_LIGNES^4*C7*D7*E7*F7*((1-NB_LIGNES*Poids!$M$12)*(1-G7/(1-Poids!$M$12))^NB_LIGNES+NB_LIGNES*Poids!$M$12*(1-G7/(1-Poids!$M$12))^(NB_LIGNES-1)),NB_PAYLINES*C7*D7*E7*F7*(1-G7))</f>
        <v/>
      </c>
      <c r="J7" s="53">
        <f>IF(MODE_GAIN="WAYS",NB_LIGNES^5,NB_PAYLINES)*C7*D7*E7*F7*G7</f>
        <v/>
      </c>
      <c r="K7" s="29">
        <f>Paytable!D6*H7+Paytable!E6*I7+Paytable!F6*J7</f>
        <v/>
      </c>
      <c r="L7" s="29">
        <f>IF($K$12=0,0,K7/$K$12)</f>
        <v/>
      </c>
    </row>
    <row r="8">
      <c r="A8" s="27">
        <f>Paytable!A7</f>
        <v/>
      </c>
      <c r="B8" s="27">
        <f>Paytable!B7</f>
        <v/>
      </c>
      <c r="C8" s="35">
        <f>Poids!I8</f>
        <v/>
      </c>
      <c r="D8" s="35">
        <f>Poids!J8</f>
        <v/>
      </c>
      <c r="E8" s="35">
        <f>Poids!K8</f>
        <v/>
      </c>
      <c r="F8" s="35">
        <f>Poids!L8</f>
        <v/>
      </c>
      <c r="G8" s="35">
        <f>Poids!M8</f>
        <v/>
      </c>
      <c r="H8" s="53">
        <f>IF(MODE_GAIN="WAYS",NB_LIGNES^3*C8*D8*E8*((1-NB_LIGNES*Poids!$L$12)*(1-F8/(1-Poids!$L$12))^NB_LIGNES+NB_LIGNES*Poids!$L$12*(1-F8/(1-Poids!$L$12))^(NB_LIGNES-1)),NB_PAYLINES*C8*D8*E8*(1-F8))</f>
        <v/>
      </c>
      <c r="I8" s="53">
        <f>IF(MODE_GAIN="WAYS",NB_LIGNES^4*C8*D8*E8*F8*((1-NB_LIGNES*Poids!$M$12)*(1-G8/(1-Poids!$M$12))^NB_LIGNES+NB_LIGNES*Poids!$M$12*(1-G8/(1-Poids!$M$12))^(NB_LIGNES-1)),NB_PAYLINES*C8*D8*E8*F8*(1-G8))</f>
        <v/>
      </c>
      <c r="J8" s="53">
        <f>IF(MODE_GAIN="WAYS",NB_LIGNES^5,NB_PAYLINES)*C8*D8*E8*F8*G8</f>
        <v/>
      </c>
      <c r="K8" s="29">
        <f>Paytable!D7*H8+Paytable!E7*I8+Paytable!F7*J8</f>
        <v/>
      </c>
      <c r="L8" s="29">
        <f>IF($K$12=0,0,K8/$K$12)</f>
        <v/>
      </c>
    </row>
    <row r="9">
      <c r="A9" s="27">
        <f>Paytable!A8</f>
        <v/>
      </c>
      <c r="B9" s="27">
        <f>Paytable!B8</f>
        <v/>
      </c>
      <c r="C9" s="35">
        <f>Poids!I9</f>
        <v/>
      </c>
      <c r="D9" s="35">
        <f>Poids!J9</f>
        <v/>
      </c>
      <c r="E9" s="35">
        <f>Poids!K9</f>
        <v/>
      </c>
      <c r="F9" s="35">
        <f>Poids!L9</f>
        <v/>
      </c>
      <c r="G9" s="35">
        <f>Poids!M9</f>
        <v/>
      </c>
      <c r="H9" s="53">
        <f>IF(MODE_GAIN="WAYS",NB_LIGNES^3*C9*D9*E9*((1-NB_LIGNES*Poids!$L$12)*(1-F9/(1-Poids!$L$12))^NB_LIGNES+NB_LIGNES*Poids!$L$12*(1-F9/(1-Poids!$L$12))^(NB_LIGNES-1)),NB_PAYLINES*C9*D9*E9*(1-F9))</f>
        <v/>
      </c>
      <c r="I9" s="53">
        <f>IF(MODE_GAIN="WAYS",NB_LIGNES^4*C9*D9*E9*F9*((1-NB_LIGNES*Poids!$M$12)*(1-G9/(1-Poids!$M$12))^NB_LIGNES+NB_LIGNES*Poids!$M$12*(1-G9/(1-Poids!$M$12))^(NB_LIGNES-1)),NB_PAYLINES*C9*D9*E9*F9*(1-G9))</f>
        <v/>
      </c>
      <c r="J9" s="53">
        <f>IF(MODE_GAIN="WAYS",NB_LIGNES^5,NB_PAYLINES)*C9*D9*E9*F9*G9</f>
        <v/>
      </c>
      <c r="K9" s="29">
        <f>Paytable!D8*H9+Paytable!E8*I9+Paytable!F8*J9</f>
        <v/>
      </c>
      <c r="L9" s="29">
        <f>IF($K$12=0,0,K9/$K$12)</f>
        <v/>
      </c>
    </row>
    <row r="10">
      <c r="A10" s="27">
        <f>Paytable!A9</f>
        <v/>
      </c>
      <c r="B10" s="27">
        <f>Paytable!B9</f>
        <v/>
      </c>
      <c r="C10" s="35">
        <f>Poids!I10</f>
        <v/>
      </c>
      <c r="D10" s="35">
        <f>Poids!J10</f>
        <v/>
      </c>
      <c r="E10" s="35">
        <f>Poids!K10</f>
        <v/>
      </c>
      <c r="F10" s="35">
        <f>Poids!L10</f>
        <v/>
      </c>
      <c r="G10" s="35">
        <f>Poids!M10</f>
        <v/>
      </c>
      <c r="H10" s="53">
        <f>IF(MODE_GAIN="WAYS",NB_LIGNES^3*C10*D10*E10*((1-NB_LIGNES*Poids!$L$12)*(1-F10/(1-Poids!$L$12))^NB_LIGNES+NB_LIGNES*Poids!$L$12*(1-F10/(1-Poids!$L$12))^(NB_LIGNES-1)),NB_PAYLINES*C10*D10*E10*(1-F10))</f>
        <v/>
      </c>
      <c r="I10" s="53">
        <f>IF(MODE_GAIN="WAYS",NB_LIGNES^4*C10*D10*E10*F10*((1-NB_LIGNES*Poids!$M$12)*(1-G10/(1-Poids!$M$12))^NB_LIGNES+NB_LIGNES*Poids!$M$12*(1-G10/(1-Poids!$M$12))^(NB_LIGNES-1)),NB_PAYLINES*C10*D10*E10*F10*(1-G10))</f>
        <v/>
      </c>
      <c r="J10" s="53">
        <f>IF(MODE_GAIN="WAYS",NB_LIGNES^5,NB_PAYLINES)*C10*D10*E10*F10*G10</f>
        <v/>
      </c>
      <c r="K10" s="29">
        <f>Paytable!D9*H10+Paytable!E9*I10+Paytable!F9*J10</f>
        <v/>
      </c>
      <c r="L10" s="29">
        <f>IF($K$12=0,0,K10/$K$12)</f>
        <v/>
      </c>
    </row>
    <row r="11">
      <c r="A11" s="27">
        <f>Paytable!A10</f>
        <v/>
      </c>
      <c r="B11" s="27">
        <f>Paytable!B10</f>
        <v/>
      </c>
      <c r="C11" s="35">
        <f>Poids!I11</f>
        <v/>
      </c>
      <c r="D11" s="35">
        <f>Poids!J11</f>
        <v/>
      </c>
      <c r="E11" s="35">
        <f>Poids!K11</f>
        <v/>
      </c>
      <c r="F11" s="35">
        <f>Poids!L11</f>
        <v/>
      </c>
      <c r="G11" s="35">
        <f>Poids!M11</f>
        <v/>
      </c>
      <c r="H11" s="53">
        <f>IF(MODE_GAIN="WAYS",NB_LIGNES^3*C11*D11*E11*((1-NB_LIGNES*Poids!$L$12)*(1-F11/(1-Poids!$L$12))^NB_LIGNES+NB_LIGNES*Poids!$L$12*(1-F11/(1-Poids!$L$12))^(NB_LIGNES-1)),NB_PAYLINES*C11*D11*E11*(1-F11))</f>
        <v/>
      </c>
      <c r="I11" s="53">
        <f>IF(MODE_GAIN="WAYS",NB_LIGNES^4*C11*D11*E11*F11*((1-NB_LIGNES*Poids!$M$12)*(1-G11/(1-Poids!$M$12))^NB_LIGNES+NB_LIGNES*Poids!$M$12*(1-G11/(1-Poids!$M$12))^(NB_LIGNES-1)),NB_PAYLINES*C11*D11*E11*F11*(1-G11))</f>
        <v/>
      </c>
      <c r="J11" s="53">
        <f>IF(MODE_GAIN="WAYS",NB_LIGNES^5,NB_PAYLINES)*C11*D11*E11*F11*G11</f>
        <v/>
      </c>
      <c r="K11" s="29">
        <f>Paytable!D10*H11+Paytable!E10*I11+Paytable!F10*J11</f>
        <v/>
      </c>
      <c r="L11" s="29">
        <f>IF($K$12=0,0,K11/$K$12)</f>
        <v/>
      </c>
    </row>
    <row r="12">
      <c r="B12" s="30" t="inlineStr">
        <is>
          <t>Total</t>
        </is>
      </c>
      <c r="C12" s="33" t="inlineStr"/>
      <c r="D12" s="33" t="inlineStr"/>
      <c r="E12" s="33" t="inlineStr"/>
      <c r="F12" s="33" t="inlineStr"/>
      <c r="G12" s="33" t="inlineStr"/>
      <c r="H12" s="54">
        <f>SUM(H5:H11)</f>
        <v/>
      </c>
      <c r="I12" s="54">
        <f>SUM(I5:I11)</f>
        <v/>
      </c>
      <c r="J12" s="54">
        <f>SUM(J5:J11)</f>
        <v/>
      </c>
      <c r="K12" s="32">
        <f>SUM(K5:K11)</f>
        <v/>
      </c>
      <c r="L12" s="32">
        <f>SUM(L5:L11)</f>
        <v/>
      </c>
    </row>
    <row r="15">
      <c r="A15" s="12" t="inlineStr">
        <is>
          <t>FREE SPINS DU BONUS 1 — gain moyen par FS hors globe (x mise)</t>
        </is>
      </c>
    </row>
    <row r="16">
      <c r="A16" s="5" t="inlineStr">
        <is>
          <t>Code</t>
        </is>
      </c>
      <c r="B16" s="5" t="inlineStr">
        <is>
          <t>Symbole</t>
        </is>
      </c>
      <c r="C16" s="5" t="inlineStr">
        <is>
          <t>p R1</t>
        </is>
      </c>
      <c r="D16" s="5" t="inlineStr">
        <is>
          <t>p R2</t>
        </is>
      </c>
      <c r="E16" s="5" t="inlineStr">
        <is>
          <t>p R3</t>
        </is>
      </c>
      <c r="F16" s="5" t="inlineStr">
        <is>
          <t>p R4</t>
        </is>
      </c>
      <c r="G16" s="5" t="inlineStr">
        <is>
          <t>p R5</t>
        </is>
      </c>
      <c r="H16" s="5" t="inlineStr">
        <is>
          <t>E[gains 3]</t>
        </is>
      </c>
      <c r="I16" s="5" t="inlineStr">
        <is>
          <t>E[gains 4]</t>
        </is>
      </c>
      <c r="J16" s="5" t="inlineStr">
        <is>
          <t>E[gains 5]</t>
        </is>
      </c>
      <c r="K16" s="5" t="inlineStr">
        <is>
          <t>RTP (x mise)</t>
        </is>
      </c>
      <c r="L16" s="5" t="inlineStr">
        <is>
          <t>% du bloc</t>
        </is>
      </c>
    </row>
    <row r="17">
      <c r="A17" s="27">
        <f>Paytable!A4</f>
        <v/>
      </c>
      <c r="B17" s="27">
        <f>Paytable!B4</f>
        <v/>
      </c>
      <c r="C17" s="35">
        <f>Poids!I33</f>
        <v/>
      </c>
      <c r="D17" s="35">
        <f>Poids!J33</f>
        <v/>
      </c>
      <c r="E17" s="35">
        <f>Poids!K33</f>
        <v/>
      </c>
      <c r="F17" s="35">
        <f>Poids!L33</f>
        <v/>
      </c>
      <c r="G17" s="35">
        <f>Poids!M33</f>
        <v/>
      </c>
      <c r="H17" s="53">
        <f>IF(MODE_GAIN="WAYS",NB_LIGNES^3*C17*D17*E17*((1-NB_LIGNES*Poids!$L$40)*(1-F17/(1-Poids!$L$40))^NB_LIGNES+NB_LIGNES*Poids!$L$40*(1-F17/(1-Poids!$L$40))^(NB_LIGNES-1)),NB_PAYLINES*C17*D17*E17*(1-F17))</f>
        <v/>
      </c>
      <c r="I17" s="53">
        <f>IF(MODE_GAIN="WAYS",NB_LIGNES^4*C17*D17*E17*F17*((1-NB_LIGNES*Poids!$M$40)*(1-G17/(1-Poids!$M$40))^NB_LIGNES+NB_LIGNES*Poids!$M$40*(1-G17/(1-Poids!$M$40))^(NB_LIGNES-1)),NB_PAYLINES*C17*D17*E17*F17*(1-G17))</f>
        <v/>
      </c>
      <c r="J17" s="53">
        <f>IF(MODE_GAIN="WAYS",NB_LIGNES^5,NB_PAYLINES)*C17*D17*E17*F17*G17</f>
        <v/>
      </c>
      <c r="K17" s="29">
        <f>Paytable!D4*H17+Paytable!E4*I17+Paytable!F4*J17</f>
        <v/>
      </c>
      <c r="L17" s="29">
        <f>IF($K$24=0,0,K17/$K$24)</f>
        <v/>
      </c>
    </row>
    <row r="18">
      <c r="A18" s="27">
        <f>Paytable!A5</f>
        <v/>
      </c>
      <c r="B18" s="27">
        <f>Paytable!B5</f>
        <v/>
      </c>
      <c r="C18" s="35">
        <f>Poids!I34</f>
        <v/>
      </c>
      <c r="D18" s="35">
        <f>Poids!J34</f>
        <v/>
      </c>
      <c r="E18" s="35">
        <f>Poids!K34</f>
        <v/>
      </c>
      <c r="F18" s="35">
        <f>Poids!L34</f>
        <v/>
      </c>
      <c r="G18" s="35">
        <f>Poids!M34</f>
        <v/>
      </c>
      <c r="H18" s="53">
        <f>IF(MODE_GAIN="WAYS",NB_LIGNES^3*C18*D18*E18*((1-NB_LIGNES*Poids!$L$40)*(1-F18/(1-Poids!$L$40))^NB_LIGNES+NB_LIGNES*Poids!$L$40*(1-F18/(1-Poids!$L$40))^(NB_LIGNES-1)),NB_PAYLINES*C18*D18*E18*(1-F18))</f>
        <v/>
      </c>
      <c r="I18" s="53">
        <f>IF(MODE_GAIN="WAYS",NB_LIGNES^4*C18*D18*E18*F18*((1-NB_LIGNES*Poids!$M$40)*(1-G18/(1-Poids!$M$40))^NB_LIGNES+NB_LIGNES*Poids!$M$40*(1-G18/(1-Poids!$M$40))^(NB_LIGNES-1)),NB_PAYLINES*C18*D18*E18*F18*(1-G18))</f>
        <v/>
      </c>
      <c r="J18" s="53">
        <f>IF(MODE_GAIN="WAYS",NB_LIGNES^5,NB_PAYLINES)*C18*D18*E18*F18*G18</f>
        <v/>
      </c>
      <c r="K18" s="29">
        <f>Paytable!D5*H18+Paytable!E5*I18+Paytable!F5*J18</f>
        <v/>
      </c>
      <c r="L18" s="29">
        <f>IF($K$24=0,0,K18/$K$24)</f>
        <v/>
      </c>
    </row>
    <row r="19">
      <c r="A19" s="27">
        <f>Paytable!A6</f>
        <v/>
      </c>
      <c r="B19" s="27">
        <f>Paytable!B6</f>
        <v/>
      </c>
      <c r="C19" s="35">
        <f>Poids!I35</f>
        <v/>
      </c>
      <c r="D19" s="35">
        <f>Poids!J35</f>
        <v/>
      </c>
      <c r="E19" s="35">
        <f>Poids!K35</f>
        <v/>
      </c>
      <c r="F19" s="35">
        <f>Poids!L35</f>
        <v/>
      </c>
      <c r="G19" s="35">
        <f>Poids!M35</f>
        <v/>
      </c>
      <c r="H19" s="53">
        <f>IF(MODE_GAIN="WAYS",NB_LIGNES^3*C19*D19*E19*((1-NB_LIGNES*Poids!$L$40)*(1-F19/(1-Poids!$L$40))^NB_LIGNES+NB_LIGNES*Poids!$L$40*(1-F19/(1-Poids!$L$40))^(NB_LIGNES-1)),NB_PAYLINES*C19*D19*E19*(1-F19))</f>
        <v/>
      </c>
      <c r="I19" s="53">
        <f>IF(MODE_GAIN="WAYS",NB_LIGNES^4*C19*D19*E19*F19*((1-NB_LIGNES*Poids!$M$40)*(1-G19/(1-Poids!$M$40))^NB_LIGNES+NB_LIGNES*Poids!$M$40*(1-G19/(1-Poids!$M$40))^(NB_LIGNES-1)),NB_PAYLINES*C19*D19*E19*F19*(1-G19))</f>
        <v/>
      </c>
      <c r="J19" s="53">
        <f>IF(MODE_GAIN="WAYS",NB_LIGNES^5,NB_PAYLINES)*C19*D19*E19*F19*G19</f>
        <v/>
      </c>
      <c r="K19" s="29">
        <f>Paytable!D6*H19+Paytable!E6*I19+Paytable!F6*J19</f>
        <v/>
      </c>
      <c r="L19" s="29">
        <f>IF($K$24=0,0,K19/$K$24)</f>
        <v/>
      </c>
    </row>
    <row r="20">
      <c r="A20" s="27">
        <f>Paytable!A7</f>
        <v/>
      </c>
      <c r="B20" s="27">
        <f>Paytable!B7</f>
        <v/>
      </c>
      <c r="C20" s="35">
        <f>Poids!I36</f>
        <v/>
      </c>
      <c r="D20" s="35">
        <f>Poids!J36</f>
        <v/>
      </c>
      <c r="E20" s="35">
        <f>Poids!K36</f>
        <v/>
      </c>
      <c r="F20" s="35">
        <f>Poids!L36</f>
        <v/>
      </c>
      <c r="G20" s="35">
        <f>Poids!M36</f>
        <v/>
      </c>
      <c r="H20" s="53">
        <f>IF(MODE_GAIN="WAYS",NB_LIGNES^3*C20*D20*E20*((1-NB_LIGNES*Poids!$L$40)*(1-F20/(1-Poids!$L$40))^NB_LIGNES+NB_LIGNES*Poids!$L$40*(1-F20/(1-Poids!$L$40))^(NB_LIGNES-1)),NB_PAYLINES*C20*D20*E20*(1-F20))</f>
        <v/>
      </c>
      <c r="I20" s="53">
        <f>IF(MODE_GAIN="WAYS",NB_LIGNES^4*C20*D20*E20*F20*((1-NB_LIGNES*Poids!$M$40)*(1-G20/(1-Poids!$M$40))^NB_LIGNES+NB_LIGNES*Poids!$M$40*(1-G20/(1-Poids!$M$40))^(NB_LIGNES-1)),NB_PAYLINES*C20*D20*E20*F20*(1-G20))</f>
        <v/>
      </c>
      <c r="J20" s="53">
        <f>IF(MODE_GAIN="WAYS",NB_LIGNES^5,NB_PAYLINES)*C20*D20*E20*F20*G20</f>
        <v/>
      </c>
      <c r="K20" s="29">
        <f>Paytable!D7*H20+Paytable!E7*I20+Paytable!F7*J20</f>
        <v/>
      </c>
      <c r="L20" s="29">
        <f>IF($K$24=0,0,K20/$K$24)</f>
        <v/>
      </c>
    </row>
    <row r="21">
      <c r="A21" s="27">
        <f>Paytable!A8</f>
        <v/>
      </c>
      <c r="B21" s="27">
        <f>Paytable!B8</f>
        <v/>
      </c>
      <c r="C21" s="35">
        <f>Poids!I37</f>
        <v/>
      </c>
      <c r="D21" s="35">
        <f>Poids!J37</f>
        <v/>
      </c>
      <c r="E21" s="35">
        <f>Poids!K37</f>
        <v/>
      </c>
      <c r="F21" s="35">
        <f>Poids!L37</f>
        <v/>
      </c>
      <c r="G21" s="35">
        <f>Poids!M37</f>
        <v/>
      </c>
      <c r="H21" s="53">
        <f>IF(MODE_GAIN="WAYS",NB_LIGNES^3*C21*D21*E21*((1-NB_LIGNES*Poids!$L$40)*(1-F21/(1-Poids!$L$40))^NB_LIGNES+NB_LIGNES*Poids!$L$40*(1-F21/(1-Poids!$L$40))^(NB_LIGNES-1)),NB_PAYLINES*C21*D21*E21*(1-F21))</f>
        <v/>
      </c>
      <c r="I21" s="53">
        <f>IF(MODE_GAIN="WAYS",NB_LIGNES^4*C21*D21*E21*F21*((1-NB_LIGNES*Poids!$M$40)*(1-G21/(1-Poids!$M$40))^NB_LIGNES+NB_LIGNES*Poids!$M$40*(1-G21/(1-Poids!$M$40))^(NB_LIGNES-1)),NB_PAYLINES*C21*D21*E21*F21*(1-G21))</f>
        <v/>
      </c>
      <c r="J21" s="53">
        <f>IF(MODE_GAIN="WAYS",NB_LIGNES^5,NB_PAYLINES)*C21*D21*E21*F21*G21</f>
        <v/>
      </c>
      <c r="K21" s="29">
        <f>Paytable!D8*H21+Paytable!E8*I21+Paytable!F8*J21</f>
        <v/>
      </c>
      <c r="L21" s="29">
        <f>IF($K$24=0,0,K21/$K$24)</f>
        <v/>
      </c>
    </row>
    <row r="22">
      <c r="A22" s="27">
        <f>Paytable!A9</f>
        <v/>
      </c>
      <c r="B22" s="27">
        <f>Paytable!B9</f>
        <v/>
      </c>
      <c r="C22" s="35">
        <f>Poids!I38</f>
        <v/>
      </c>
      <c r="D22" s="35">
        <f>Poids!J38</f>
        <v/>
      </c>
      <c r="E22" s="35">
        <f>Poids!K38</f>
        <v/>
      </c>
      <c r="F22" s="35">
        <f>Poids!L38</f>
        <v/>
      </c>
      <c r="G22" s="35">
        <f>Poids!M38</f>
        <v/>
      </c>
      <c r="H22" s="53">
        <f>IF(MODE_GAIN="WAYS",NB_LIGNES^3*C22*D22*E22*((1-NB_LIGNES*Poids!$L$40)*(1-F22/(1-Poids!$L$40))^NB_LIGNES+NB_LIGNES*Poids!$L$40*(1-F22/(1-Poids!$L$40))^(NB_LIGNES-1)),NB_PAYLINES*C22*D22*E22*(1-F22))</f>
        <v/>
      </c>
      <c r="I22" s="53">
        <f>IF(MODE_GAIN="WAYS",NB_LIGNES^4*C22*D22*E22*F22*((1-NB_LIGNES*Poids!$M$40)*(1-G22/(1-Poids!$M$40))^NB_LIGNES+NB_LIGNES*Poids!$M$40*(1-G22/(1-Poids!$M$40))^(NB_LIGNES-1)),NB_PAYLINES*C22*D22*E22*F22*(1-G22))</f>
        <v/>
      </c>
      <c r="J22" s="53">
        <f>IF(MODE_GAIN="WAYS",NB_LIGNES^5,NB_PAYLINES)*C22*D22*E22*F22*G22</f>
        <v/>
      </c>
      <c r="K22" s="29">
        <f>Paytable!D9*H22+Paytable!E9*I22+Paytable!F9*J22</f>
        <v/>
      </c>
      <c r="L22" s="29">
        <f>IF($K$24=0,0,K22/$K$24)</f>
        <v/>
      </c>
    </row>
    <row r="23">
      <c r="A23" s="27">
        <f>Paytable!A10</f>
        <v/>
      </c>
      <c r="B23" s="27">
        <f>Paytable!B10</f>
        <v/>
      </c>
      <c r="C23" s="35">
        <f>Poids!I39</f>
        <v/>
      </c>
      <c r="D23" s="35">
        <f>Poids!J39</f>
        <v/>
      </c>
      <c r="E23" s="35">
        <f>Poids!K39</f>
        <v/>
      </c>
      <c r="F23" s="35">
        <f>Poids!L39</f>
        <v/>
      </c>
      <c r="G23" s="35">
        <f>Poids!M39</f>
        <v/>
      </c>
      <c r="H23" s="53">
        <f>IF(MODE_GAIN="WAYS",NB_LIGNES^3*C23*D23*E23*((1-NB_LIGNES*Poids!$L$40)*(1-F23/(1-Poids!$L$40))^NB_LIGNES+NB_LIGNES*Poids!$L$40*(1-F23/(1-Poids!$L$40))^(NB_LIGNES-1)),NB_PAYLINES*C23*D23*E23*(1-F23))</f>
        <v/>
      </c>
      <c r="I23" s="53">
        <f>IF(MODE_GAIN="WAYS",NB_LIGNES^4*C23*D23*E23*F23*((1-NB_LIGNES*Poids!$M$40)*(1-G23/(1-Poids!$M$40))^NB_LIGNES+NB_LIGNES*Poids!$M$40*(1-G23/(1-Poids!$M$40))^(NB_LIGNES-1)),NB_PAYLINES*C23*D23*E23*F23*(1-G23))</f>
        <v/>
      </c>
      <c r="J23" s="53">
        <f>IF(MODE_GAIN="WAYS",NB_LIGNES^5,NB_PAYLINES)*C23*D23*E23*F23*G23</f>
        <v/>
      </c>
      <c r="K23" s="29">
        <f>Paytable!D10*H23+Paytable!E10*I23+Paytable!F10*J23</f>
        <v/>
      </c>
      <c r="L23" s="29">
        <f>IF($K$24=0,0,K23/$K$24)</f>
        <v/>
      </c>
    </row>
    <row r="24">
      <c r="B24" s="30" t="inlineStr">
        <is>
          <t>Total</t>
        </is>
      </c>
      <c r="C24" s="33" t="inlineStr"/>
      <c r="D24" s="33" t="inlineStr"/>
      <c r="E24" s="33" t="inlineStr"/>
      <c r="F24" s="33" t="inlineStr"/>
      <c r="G24" s="33" t="inlineStr"/>
      <c r="H24" s="54">
        <f>SUM(H17:H23)</f>
        <v/>
      </c>
      <c r="I24" s="54">
        <f>SUM(I17:I23)</f>
        <v/>
      </c>
      <c r="J24" s="54">
        <f>SUM(J17:J23)</f>
        <v/>
      </c>
      <c r="K24" s="32">
        <f>SUM(K17:K23)</f>
        <v/>
      </c>
      <c r="L24" s="32">
        <f>SUM(L17:L23)</f>
        <v/>
      </c>
    </row>
    <row r="26">
      <c r="A26" s="4" t="inlineStr">
        <is>
          <t>Contrôle : mets le poids du Globe à 0 dans Poids, relance le simulateur. Le RTP de base simulé doit être égal au total ci-dessus.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Fréquence des bonus, nombre de FS, fréquence du globe</t>
        </is>
      </c>
    </row>
    <row r="2">
      <c r="A2" s="4" t="inlineStr">
        <is>
          <t>Au plus 1 symbole bonus par rouleau sur la grille de départ (probabilité = lignes × p). Sans les cascades, qui en ajoutent (voir Simulation).</t>
        </is>
      </c>
    </row>
    <row r="3">
      <c r="A3" s="12" t="inlineStr">
        <is>
          <t>Probabilité d'une case</t>
        </is>
      </c>
    </row>
    <row r="4">
      <c r="A4" s="5" t="inlineStr">
        <is>
          <t>Symbole / phase</t>
        </is>
      </c>
      <c r="B4" s="5" t="inlineStr">
        <is>
          <t>R1</t>
        </is>
      </c>
      <c r="C4" s="5" t="inlineStr">
        <is>
          <t>R2</t>
        </is>
      </c>
      <c r="D4" s="5" t="inlineStr">
        <is>
          <t>R3</t>
        </is>
      </c>
      <c r="E4" s="5" t="inlineStr">
        <is>
          <t>R4</t>
        </is>
      </c>
      <c r="F4" s="5" t="inlineStr">
        <is>
          <t>R5</t>
        </is>
      </c>
    </row>
    <row r="5">
      <c r="A5" s="6" t="inlineStr">
        <is>
          <t>Symbole bonus — base</t>
        </is>
      </c>
      <c r="B5" s="55">
        <f>Poids!I12</f>
        <v/>
      </c>
      <c r="C5" s="55">
        <f>Poids!J12</f>
        <v/>
      </c>
      <c r="D5" s="55">
        <f>Poids!K12</f>
        <v/>
      </c>
      <c r="E5" s="55">
        <f>Poids!L12</f>
        <v/>
      </c>
      <c r="F5" s="55">
        <f>Poids!M12</f>
        <v/>
      </c>
    </row>
    <row r="6">
      <c r="A6" s="6" t="inlineStr">
        <is>
          <t>Symbole bonus — boost</t>
        </is>
      </c>
      <c r="B6" s="55">
        <f>Poids!I26</f>
        <v/>
      </c>
      <c r="C6" s="55">
        <f>Poids!J26</f>
        <v/>
      </c>
      <c r="D6" s="55">
        <f>Poids!K26</f>
        <v/>
      </c>
      <c r="E6" s="55">
        <f>Poids!L26</f>
        <v/>
      </c>
      <c r="F6" s="55">
        <f>Poids!M26</f>
        <v/>
      </c>
    </row>
    <row r="7">
      <c r="A7" s="6" t="inlineStr">
        <is>
          <t>Symbole bonus — FS bonus 1</t>
        </is>
      </c>
      <c r="B7" s="55">
        <f>Poids!I40</f>
        <v/>
      </c>
      <c r="C7" s="55">
        <f>Poids!J40</f>
        <v/>
      </c>
      <c r="D7" s="55">
        <f>Poids!K40</f>
        <v/>
      </c>
      <c r="E7" s="55">
        <f>Poids!L40</f>
        <v/>
      </c>
      <c r="F7" s="55">
        <f>Poids!M40</f>
        <v/>
      </c>
    </row>
    <row r="8">
      <c r="A8" s="6" t="inlineStr">
        <is>
          <t>Symbole bonus — FS bonus 2</t>
        </is>
      </c>
      <c r="B8" s="55">
        <f>Poids!I54</f>
        <v/>
      </c>
      <c r="C8" s="55">
        <f>Poids!J54</f>
        <v/>
      </c>
      <c r="D8" s="55">
        <f>Poids!K54</f>
        <v/>
      </c>
      <c r="E8" s="55">
        <f>Poids!L54</f>
        <v/>
      </c>
      <c r="F8" s="55">
        <f>Poids!M54</f>
        <v/>
      </c>
    </row>
    <row r="9">
      <c r="A9" s="6" t="inlineStr">
        <is>
          <t>Symbole bonus — FS bonus 3</t>
        </is>
      </c>
      <c r="B9" s="55">
        <f>Poids!I68</f>
        <v/>
      </c>
      <c r="C9" s="55">
        <f>Poids!J68</f>
        <v/>
      </c>
      <c r="D9" s="55">
        <f>Poids!K68</f>
        <v/>
      </c>
      <c r="E9" s="55">
        <f>Poids!L68</f>
        <v/>
      </c>
      <c r="F9" s="55">
        <f>Poids!M68</f>
        <v/>
      </c>
    </row>
    <row r="10">
      <c r="A10" s="6" t="inlineStr">
        <is>
          <t>Globe — base</t>
        </is>
      </c>
      <c r="B10" s="55">
        <f>Poids!I13</f>
        <v/>
      </c>
      <c r="C10" s="55">
        <f>Poids!J13</f>
        <v/>
      </c>
      <c r="D10" s="55">
        <f>Poids!K13</f>
        <v/>
      </c>
      <c r="E10" s="55">
        <f>Poids!L13</f>
        <v/>
      </c>
      <c r="F10" s="55">
        <f>Poids!M13</f>
        <v/>
      </c>
    </row>
    <row r="11">
      <c r="A11" s="6" t="inlineStr">
        <is>
          <t>Globe — boost</t>
        </is>
      </c>
      <c r="B11" s="55">
        <f>Poids!I27</f>
        <v/>
      </c>
      <c r="C11" s="55">
        <f>Poids!J27</f>
        <v/>
      </c>
      <c r="D11" s="55">
        <f>Poids!K27</f>
        <v/>
      </c>
      <c r="E11" s="55">
        <f>Poids!L27</f>
        <v/>
      </c>
      <c r="F11" s="55">
        <f>Poids!M27</f>
        <v/>
      </c>
    </row>
    <row r="12">
      <c r="A12" s="6" t="inlineStr">
        <is>
          <t>Globe — FS bonus 1</t>
        </is>
      </c>
      <c r="B12" s="55">
        <f>Poids!I41</f>
        <v/>
      </c>
      <c r="C12" s="55">
        <f>Poids!J41</f>
        <v/>
      </c>
      <c r="D12" s="55">
        <f>Poids!K41</f>
        <v/>
      </c>
      <c r="E12" s="55">
        <f>Poids!L41</f>
        <v/>
      </c>
      <c r="F12" s="55">
        <f>Poids!M41</f>
        <v/>
      </c>
    </row>
    <row r="13">
      <c r="A13" s="6" t="inlineStr">
        <is>
          <t>Globe — FS bonus 2</t>
        </is>
      </c>
      <c r="B13" s="55">
        <f>Poids!I55</f>
        <v/>
      </c>
      <c r="C13" s="55">
        <f>Poids!J55</f>
        <v/>
      </c>
      <c r="D13" s="55">
        <f>Poids!K55</f>
        <v/>
      </c>
      <c r="E13" s="55">
        <f>Poids!L55</f>
        <v/>
      </c>
      <c r="F13" s="55">
        <f>Poids!M55</f>
        <v/>
      </c>
    </row>
    <row r="14">
      <c r="A14" s="6" t="inlineStr">
        <is>
          <t>Globe — FS bonus 3</t>
        </is>
      </c>
      <c r="B14" s="55">
        <f>Poids!I69</f>
        <v/>
      </c>
      <c r="C14" s="55">
        <f>Poids!J69</f>
        <v/>
      </c>
      <c r="D14" s="55">
        <f>Poids!K69</f>
        <v/>
      </c>
      <c r="E14" s="55">
        <f>Poids!L69</f>
        <v/>
      </c>
      <c r="F14" s="55">
        <f>Poids!M69</f>
        <v/>
      </c>
    </row>
    <row r="16">
      <c r="A16" s="12" t="inlineStr">
        <is>
          <t>Nombre de symboles bonus sur la grille de départ (au plus 1 par rouleau, comme sur les bandes du SDK)</t>
        </is>
      </c>
    </row>
    <row r="17">
      <c r="A17" s="5" t="inlineStr">
        <is>
          <t>n</t>
        </is>
      </c>
      <c r="B17" s="5" t="inlineStr">
        <is>
          <t>base R1</t>
        </is>
      </c>
      <c r="C17" s="5" t="inlineStr">
        <is>
          <t>base R1–2</t>
        </is>
      </c>
      <c r="D17" s="5" t="inlineStr">
        <is>
          <t>base R1–3</t>
        </is>
      </c>
      <c r="E17" s="5" t="inlineStr">
        <is>
          <t>base R1–4</t>
        </is>
      </c>
      <c r="F17" s="5" t="inlineStr">
        <is>
          <t>base R1–5</t>
        </is>
      </c>
      <c r="G17" s="5" t="inlineStr">
        <is>
          <t>boost R1</t>
        </is>
      </c>
      <c r="H17" s="5" t="inlineStr">
        <is>
          <t>boost R1–2</t>
        </is>
      </c>
      <c r="I17" s="5" t="inlineStr">
        <is>
          <t>boost R1–3</t>
        </is>
      </c>
      <c r="J17" s="5" t="inlineStr">
        <is>
          <t>boost R1–4</t>
        </is>
      </c>
      <c r="K17" s="5" t="inlineStr">
        <is>
          <t>boost R1–5</t>
        </is>
      </c>
    </row>
    <row r="18">
      <c r="A18" s="39" t="n">
        <v>0</v>
      </c>
      <c r="B18" s="56">
        <f>IF($A18=0,1-MIN(1,NB_LIGNES*B$5),IF($A18=1,MIN(1,NB_LIGNES*B$5),0))</f>
        <v/>
      </c>
      <c r="C18" s="56">
        <f>B18*(1-MIN(1,NB_LIGNES*C$5))</f>
        <v/>
      </c>
      <c r="D18" s="56">
        <f>C18*(1-MIN(1,NB_LIGNES*D$5))</f>
        <v/>
      </c>
      <c r="E18" s="56">
        <f>D18*(1-MIN(1,NB_LIGNES*E$5))</f>
        <v/>
      </c>
      <c r="F18" s="56">
        <f>E18*(1-MIN(1,NB_LIGNES*F$5))</f>
        <v/>
      </c>
      <c r="G18" s="56">
        <f>IF($A18=0,1-MIN(1,NB_LIGNES*B$6),IF($A18=1,MIN(1,NB_LIGNES*B$6),0))</f>
        <v/>
      </c>
      <c r="H18" s="56">
        <f>G18*(1-MIN(1,NB_LIGNES*C$6))</f>
        <v/>
      </c>
      <c r="I18" s="56">
        <f>H18*(1-MIN(1,NB_LIGNES*D$6))</f>
        <v/>
      </c>
      <c r="J18" s="56">
        <f>I18*(1-MIN(1,NB_LIGNES*E$6))</f>
        <v/>
      </c>
      <c r="K18" s="56">
        <f>J18*(1-MIN(1,NB_LIGNES*F$6))</f>
        <v/>
      </c>
    </row>
    <row r="19">
      <c r="A19" s="39" t="n">
        <v>1</v>
      </c>
      <c r="B19" s="56">
        <f>IF($A19=0,1-MIN(1,NB_LIGNES*B$5),IF($A19=1,MIN(1,NB_LIGNES*B$5),0))</f>
        <v/>
      </c>
      <c r="C19" s="56">
        <f>B19*(1-MIN(1,NB_LIGNES*C$5))+B18*MIN(1,NB_LIGNES*C$5)</f>
        <v/>
      </c>
      <c r="D19" s="56">
        <f>C19*(1-MIN(1,NB_LIGNES*D$5))+C18*MIN(1,NB_LIGNES*D$5)</f>
        <v/>
      </c>
      <c r="E19" s="56">
        <f>D19*(1-MIN(1,NB_LIGNES*E$5))+D18*MIN(1,NB_LIGNES*E$5)</f>
        <v/>
      </c>
      <c r="F19" s="56">
        <f>E19*(1-MIN(1,NB_LIGNES*F$5))+E18*MIN(1,NB_LIGNES*F$5)</f>
        <v/>
      </c>
      <c r="G19" s="56">
        <f>IF($A19=0,1-MIN(1,NB_LIGNES*B$6),IF($A19=1,MIN(1,NB_LIGNES*B$6),0))</f>
        <v/>
      </c>
      <c r="H19" s="56">
        <f>G19*(1-MIN(1,NB_LIGNES*C$6))+G18*MIN(1,NB_LIGNES*C$6)</f>
        <v/>
      </c>
      <c r="I19" s="56">
        <f>H19*(1-MIN(1,NB_LIGNES*D$6))+H18*MIN(1,NB_LIGNES*D$6)</f>
        <v/>
      </c>
      <c r="J19" s="56">
        <f>I19*(1-MIN(1,NB_LIGNES*E$6))+I18*MIN(1,NB_LIGNES*E$6)</f>
        <v/>
      </c>
      <c r="K19" s="56">
        <f>J19*(1-MIN(1,NB_LIGNES*F$6))+J18*MIN(1,NB_LIGNES*F$6)</f>
        <v/>
      </c>
    </row>
    <row r="20">
      <c r="A20" s="39" t="n">
        <v>2</v>
      </c>
      <c r="B20" s="56">
        <f>IF($A20=0,1-MIN(1,NB_LIGNES*B$5),IF($A20=1,MIN(1,NB_LIGNES*B$5),0))</f>
        <v/>
      </c>
      <c r="C20" s="56">
        <f>B20*(1-MIN(1,NB_LIGNES*C$5))+B19*MIN(1,NB_LIGNES*C$5)</f>
        <v/>
      </c>
      <c r="D20" s="56">
        <f>C20*(1-MIN(1,NB_LIGNES*D$5))+C19*MIN(1,NB_LIGNES*D$5)</f>
        <v/>
      </c>
      <c r="E20" s="56">
        <f>D20*(1-MIN(1,NB_LIGNES*E$5))+D19*MIN(1,NB_LIGNES*E$5)</f>
        <v/>
      </c>
      <c r="F20" s="56">
        <f>E20*(1-MIN(1,NB_LIGNES*F$5))+E19*MIN(1,NB_LIGNES*F$5)</f>
        <v/>
      </c>
      <c r="G20" s="56">
        <f>IF($A20=0,1-MIN(1,NB_LIGNES*B$6),IF($A20=1,MIN(1,NB_LIGNES*B$6),0))</f>
        <v/>
      </c>
      <c r="H20" s="56">
        <f>G20*(1-MIN(1,NB_LIGNES*C$6))+G19*MIN(1,NB_LIGNES*C$6)</f>
        <v/>
      </c>
      <c r="I20" s="56">
        <f>H20*(1-MIN(1,NB_LIGNES*D$6))+H19*MIN(1,NB_LIGNES*D$6)</f>
        <v/>
      </c>
      <c r="J20" s="56">
        <f>I20*(1-MIN(1,NB_LIGNES*E$6))+I19*MIN(1,NB_LIGNES*E$6)</f>
        <v/>
      </c>
      <c r="K20" s="56">
        <f>J20*(1-MIN(1,NB_LIGNES*F$6))+J19*MIN(1,NB_LIGNES*F$6)</f>
        <v/>
      </c>
    </row>
    <row r="21">
      <c r="A21" s="39" t="n">
        <v>3</v>
      </c>
      <c r="B21" s="56">
        <f>IF($A21=0,1-MIN(1,NB_LIGNES*B$5),IF($A21=1,MIN(1,NB_LIGNES*B$5),0))</f>
        <v/>
      </c>
      <c r="C21" s="56">
        <f>B21*(1-MIN(1,NB_LIGNES*C$5))+B20*MIN(1,NB_LIGNES*C$5)</f>
        <v/>
      </c>
      <c r="D21" s="56">
        <f>C21*(1-MIN(1,NB_LIGNES*D$5))+C20*MIN(1,NB_LIGNES*D$5)</f>
        <v/>
      </c>
      <c r="E21" s="56">
        <f>D21*(1-MIN(1,NB_LIGNES*E$5))+D20*MIN(1,NB_LIGNES*E$5)</f>
        <v/>
      </c>
      <c r="F21" s="56">
        <f>E21*(1-MIN(1,NB_LIGNES*F$5))+E20*MIN(1,NB_LIGNES*F$5)</f>
        <v/>
      </c>
      <c r="G21" s="56">
        <f>IF($A21=0,1-MIN(1,NB_LIGNES*B$6),IF($A21=1,MIN(1,NB_LIGNES*B$6),0))</f>
        <v/>
      </c>
      <c r="H21" s="56">
        <f>G21*(1-MIN(1,NB_LIGNES*C$6))+G20*MIN(1,NB_LIGNES*C$6)</f>
        <v/>
      </c>
      <c r="I21" s="56">
        <f>H21*(1-MIN(1,NB_LIGNES*D$6))+H20*MIN(1,NB_LIGNES*D$6)</f>
        <v/>
      </c>
      <c r="J21" s="56">
        <f>I21*(1-MIN(1,NB_LIGNES*E$6))+I20*MIN(1,NB_LIGNES*E$6)</f>
        <v/>
      </c>
      <c r="K21" s="56">
        <f>J21*(1-MIN(1,NB_LIGNES*F$6))+J20*MIN(1,NB_LIGNES*F$6)</f>
        <v/>
      </c>
    </row>
    <row r="22">
      <c r="A22" s="39" t="n">
        <v>4</v>
      </c>
      <c r="B22" s="56">
        <f>IF($A22=0,1-MIN(1,NB_LIGNES*B$5),IF($A22=1,MIN(1,NB_LIGNES*B$5),0))</f>
        <v/>
      </c>
      <c r="C22" s="56">
        <f>B22*(1-MIN(1,NB_LIGNES*C$5))+B21*MIN(1,NB_LIGNES*C$5)</f>
        <v/>
      </c>
      <c r="D22" s="56">
        <f>C22*(1-MIN(1,NB_LIGNES*D$5))+C21*MIN(1,NB_LIGNES*D$5)</f>
        <v/>
      </c>
      <c r="E22" s="56">
        <f>D22*(1-MIN(1,NB_LIGNES*E$5))+D21*MIN(1,NB_LIGNES*E$5)</f>
        <v/>
      </c>
      <c r="F22" s="56">
        <f>E22*(1-MIN(1,NB_LIGNES*F$5))+E21*MIN(1,NB_LIGNES*F$5)</f>
        <v/>
      </c>
      <c r="G22" s="56">
        <f>IF($A22=0,1-MIN(1,NB_LIGNES*B$6),IF($A22=1,MIN(1,NB_LIGNES*B$6),0))</f>
        <v/>
      </c>
      <c r="H22" s="56">
        <f>G22*(1-MIN(1,NB_LIGNES*C$6))+G21*MIN(1,NB_LIGNES*C$6)</f>
        <v/>
      </c>
      <c r="I22" s="56">
        <f>H22*(1-MIN(1,NB_LIGNES*D$6))+H21*MIN(1,NB_LIGNES*D$6)</f>
        <v/>
      </c>
      <c r="J22" s="56">
        <f>I22*(1-MIN(1,NB_LIGNES*E$6))+I21*MIN(1,NB_LIGNES*E$6)</f>
        <v/>
      </c>
      <c r="K22" s="56">
        <f>J22*(1-MIN(1,NB_LIGNES*F$6))+J21*MIN(1,NB_LIGNES*F$6)</f>
        <v/>
      </c>
    </row>
    <row r="23">
      <c r="A23" s="39" t="n">
        <v>5</v>
      </c>
      <c r="B23" s="56">
        <f>IF($A23=0,1-MIN(1,NB_LIGNES*B$5),IF($A23=1,MIN(1,NB_LIGNES*B$5),0))</f>
        <v/>
      </c>
      <c r="C23" s="56">
        <f>B23*(1-MIN(1,NB_LIGNES*C$5))+B22*MIN(1,NB_LIGNES*C$5)</f>
        <v/>
      </c>
      <c r="D23" s="56">
        <f>C23*(1-MIN(1,NB_LIGNES*D$5))+C22*MIN(1,NB_LIGNES*D$5)</f>
        <v/>
      </c>
      <c r="E23" s="56">
        <f>D23*(1-MIN(1,NB_LIGNES*E$5))+D22*MIN(1,NB_LIGNES*E$5)</f>
        <v/>
      </c>
      <c r="F23" s="56">
        <f>E23*(1-MIN(1,NB_LIGNES*F$5))+E22*MIN(1,NB_LIGNES*F$5)</f>
        <v/>
      </c>
      <c r="G23" s="56">
        <f>IF($A23=0,1-MIN(1,NB_LIGNES*B$6),IF($A23=1,MIN(1,NB_LIGNES*B$6),0))</f>
        <v/>
      </c>
      <c r="H23" s="56">
        <f>G23*(1-MIN(1,NB_LIGNES*C$6))+G22*MIN(1,NB_LIGNES*C$6)</f>
        <v/>
      </c>
      <c r="I23" s="56">
        <f>H23*(1-MIN(1,NB_LIGNES*D$6))+H22*MIN(1,NB_LIGNES*D$6)</f>
        <v/>
      </c>
      <c r="J23" s="56">
        <f>I23*(1-MIN(1,NB_LIGNES*E$6))+I22*MIN(1,NB_LIGNES*E$6)</f>
        <v/>
      </c>
      <c r="K23" s="56">
        <f>J23*(1-MIN(1,NB_LIGNES*F$6))+J22*MIN(1,NB_LIGNES*F$6)</f>
        <v/>
      </c>
    </row>
    <row r="25">
      <c r="A25" s="12" t="inlineStr">
        <is>
          <t>Résultats</t>
        </is>
      </c>
    </row>
    <row r="26">
      <c r="A26" s="5" t="inlineStr">
        <is>
          <t>Indicateur</t>
        </is>
      </c>
      <c r="B26" s="5" t="inlineStr">
        <is>
          <t>Jeu de base</t>
        </is>
      </c>
      <c r="C26" s="5" t="inlineStr">
        <is>
          <t>Spins boostés</t>
        </is>
      </c>
    </row>
    <row r="27">
      <c r="A27" s="6">
        <f>"Bonus 1 ("&amp;Config!A25&amp;") : 1 spin sur"</f>
        <v/>
      </c>
      <c r="B27" s="39">
        <f>IFERROR(1/SUMPRODUCT(--($A$18:$A$23&gt;=Config!$B$25),--($A$18:$A$23&lt;Config!$B$26),F18:F23),"-")</f>
        <v/>
      </c>
      <c r="C27" s="39">
        <f>IFERROR(1/SUMPRODUCT(--($A$18:$A$23&gt;=Config!$B$25),--($A$18:$A$23&lt;Config!$B$26),K18:K23),"-")</f>
        <v/>
      </c>
    </row>
    <row r="28">
      <c r="A28" s="6">
        <f>"Bonus 2 ("&amp;Config!A26&amp;") : 1 spin sur"</f>
        <v/>
      </c>
      <c r="B28" s="39">
        <f>IFERROR(1/SUMPRODUCT(--($A$18:$A$23&gt;=Config!$B$26),--($A$18:$A$23&lt;Config!$B$27),F18:F23),"-")</f>
        <v/>
      </c>
      <c r="C28" s="39">
        <f>IFERROR(1/SUMPRODUCT(--($A$18:$A$23&gt;=Config!$B$26),--($A$18:$A$23&lt;Config!$B$27),K18:K23),"-")</f>
        <v/>
      </c>
    </row>
    <row r="29">
      <c r="A29" s="6">
        <f>"Bonus 3 ("&amp;Config!A27&amp;") : 1 spin sur"</f>
        <v/>
      </c>
      <c r="B29" s="39">
        <f>IFERROR(1/SUMPRODUCT(--($A$18:$A$23&gt;=Config!$B$27),--($A$18:$A$23&lt;99),F18:F23),"-")</f>
        <v/>
      </c>
      <c r="C29" s="39">
        <f>IFERROR(1/SUMPRODUCT(--($A$18:$A$23&gt;=Config!$B$27),--($A$18:$A$23&lt;99),K18:K23),"-")</f>
        <v/>
      </c>
    </row>
    <row r="30">
      <c r="A30" s="13" t="inlineStr">
        <is>
          <t>Tous les bonus : 1 spin sur</t>
        </is>
      </c>
      <c r="B30" s="39">
        <f>IFERROR(1/SUMPRODUCT(--($A$18:$A$23&gt;=Config!$B$25),F18:F23),"-")</f>
        <v/>
      </c>
      <c r="C30" s="39">
        <f>IFERROR(1/SUMPRODUCT(--($A$18:$A$23&gt;=Config!$B$25),K18:K23),"-")</f>
        <v/>
      </c>
    </row>
    <row r="32">
      <c r="A32" s="12" t="inlineStr">
        <is>
          <t>Globe</t>
        </is>
      </c>
    </row>
    <row r="33">
      <c r="A33" s="5" t="inlineStr">
        <is>
          <t>Phase</t>
        </is>
      </c>
      <c r="B33" s="5" t="inlineStr">
        <is>
          <t>Globes moyens par spin</t>
        </is>
      </c>
      <c r="C33" s="5" t="inlineStr">
        <is>
          <t>P(au moins 1 globe)</t>
        </is>
      </c>
    </row>
    <row r="34">
      <c r="A34" s="6" t="inlineStr">
        <is>
          <t>base</t>
        </is>
      </c>
      <c r="B34" s="53">
        <f>NB_LIGNES*SUM(B10:F10)</f>
        <v/>
      </c>
      <c r="C34" s="29">
        <f>1-(1-B10)^NB_LIGNES*(1-C10)^NB_LIGNES*(1-D10)^NB_LIGNES*(1-E10)^NB_LIGNES*(1-F10)^NB_LIGNES</f>
        <v/>
      </c>
    </row>
    <row r="35">
      <c r="A35" s="6" t="inlineStr">
        <is>
          <t>boost</t>
        </is>
      </c>
      <c r="B35" s="53">
        <f>NB_LIGNES*SUM(B11:F11)</f>
        <v/>
      </c>
      <c r="C35" s="29">
        <f>1-(1-B11)^NB_LIGNES*(1-C11)^NB_LIGNES*(1-D11)^NB_LIGNES*(1-E11)^NB_LIGNES*(1-F11)^NB_LIGNES</f>
        <v/>
      </c>
    </row>
    <row r="36">
      <c r="A36" s="6" t="inlineStr">
        <is>
          <t>FS bonus 1</t>
        </is>
      </c>
      <c r="B36" s="53">
        <f>NB_LIGNES*SUM(B12:F12)</f>
        <v/>
      </c>
      <c r="C36" s="29">
        <f>IF(Config!$D$25="OUI",1,1-(1-B12)^NB_LIGNES*(1-C12)^NB_LIGNES*(1-D12)^NB_LIGNES*(1-E12)^NB_LIGNES*(1-F12)^NB_LIGNES)</f>
        <v/>
      </c>
    </row>
    <row r="37">
      <c r="A37" s="6" t="inlineStr">
        <is>
          <t>FS bonus 2</t>
        </is>
      </c>
      <c r="B37" s="53">
        <f>NB_LIGNES*SUM(B13:F13)</f>
        <v/>
      </c>
      <c r="C37" s="29">
        <f>IF(Config!$D$26="OUI",1,1-(1-B13)^NB_LIGNES*(1-C13)^NB_LIGNES*(1-D13)^NB_LIGNES*(1-E13)^NB_LIGNES*(1-F13)^NB_LIGNES)</f>
        <v/>
      </c>
    </row>
    <row r="38">
      <c r="A38" s="6" t="inlineStr">
        <is>
          <t>FS bonus 3</t>
        </is>
      </c>
      <c r="B38" s="53">
        <f>NB_LIGNES*SUM(B14:F14)</f>
        <v/>
      </c>
      <c r="C38" s="29">
        <f>IF(Config!$D$27="OUI",1,1-(1-B14)^NB_LIGNES*(1-C14)^NB_LIGNES*(1-D14)^NB_LIGNES*(1-E14)^NB_LIGNES*(1-F14)^NB_LIGNES)</f>
        <v/>
      </c>
    </row>
    <row r="40">
      <c r="A40" s="12" t="inlineStr">
        <is>
          <t>Free spins (retrigger compris)</t>
        </is>
      </c>
    </row>
    <row r="41">
      <c r="A41" s="5" t="inlineStr">
        <is>
          <t>Bonus</t>
        </is>
      </c>
      <c r="B41" s="5" t="inlineStr">
        <is>
          <t>Symboles bonus par FS (μ)</t>
        </is>
      </c>
      <c r="C41" s="5" t="inlineStr">
        <is>
          <t>FS moyens par bonus</t>
        </is>
      </c>
    </row>
    <row r="42">
      <c r="A42" s="27">
        <f>Config!A25</f>
        <v/>
      </c>
      <c r="B42" s="53">
        <f>NB_LIGNES*SUM(B7:F7)</f>
        <v/>
      </c>
      <c r="C42" s="41">
        <f>IF(B42*FS_PAR_BONUS&gt;=1,"Infini (μ ≥ 1)",Config!C25/(1-B42*FS_PAR_BONUS))</f>
        <v/>
      </c>
    </row>
    <row r="43">
      <c r="A43" s="27">
        <f>Config!A26</f>
        <v/>
      </c>
      <c r="B43" s="53">
        <f>NB_LIGNES*SUM(B8:F8)</f>
        <v/>
      </c>
      <c r="C43" s="41">
        <f>IF(B43*FS_PAR_BONUS&gt;=1,"Infini (μ ≥ 1)",Config!C26/(1-B43*FS_PAR_BONUS))</f>
        <v/>
      </c>
    </row>
    <row r="44">
      <c r="A44" s="27">
        <f>Config!A27</f>
        <v/>
      </c>
      <c r="B44" s="53">
        <f>NB_LIGNES*SUM(B9:F9)</f>
        <v/>
      </c>
      <c r="C44" s="41">
        <f>IF(B44*FS_PAR_BONUS&gt;=1,"Infini (μ ≥ 1)",Config!C27/(1-B44*FS_PAR_BONUS))</f>
        <v/>
      </c>
    </row>
    <row r="46">
      <c r="A46" s="4" t="inlineStr">
        <is>
          <t>Retrigger : chaque FS rapporte en moyenne μ × (FS par symbole bonus) FS. Nombre moyen de FS = FS du bonus / (1 − μ × k), valable si μ × k &lt; 1.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4" customWidth="1" min="4" max="4"/>
    <col width="3" customWidth="1" min="5" max="5"/>
    <col width="22" customWidth="1" min="6" max="6"/>
    <col width="14" customWidth="1" min="7" max="7"/>
    <col width="14" customWidth="1" min="8" max="8"/>
  </cols>
  <sheetData>
    <row r="1">
      <c r="A1" s="1" t="inlineStr">
        <is>
          <t>Résultats du simulateur (écrits par simulateur.py — ne pas saisir ici)</t>
        </is>
      </c>
    </row>
    <row r="2">
      <c r="A2" s="4" t="inlineStr">
        <is>
          <t>Relance : python simulateur.py modele_maths.xlsx. Les lignes « P(départ … → bonus …) » servent à l'export vers le SDK.</t>
        </is>
      </c>
    </row>
    <row r="4">
      <c r="A4" s="5" t="inlineStr">
        <is>
          <t>Indicateur</t>
        </is>
      </c>
      <c r="B4" s="5" t="inlineStr">
        <is>
          <t>Jeu de base</t>
        </is>
      </c>
      <c r="C4" s="5" t="inlineStr">
        <is>
          <t>Spins boostés</t>
        </is>
      </c>
      <c r="F4" s="42" t="inlineStr">
        <is>
          <t>Distribution des gains par tour</t>
        </is>
      </c>
      <c r="G4" s="42" t="inlineStr">
        <is>
          <t>Jeu de base</t>
        </is>
      </c>
      <c r="H4" s="42" t="inlineStr">
        <is>
          <t>Spins boostés</t>
        </is>
      </c>
    </row>
    <row r="5">
      <c r="A5" s="6" t="inlineStr">
        <is>
          <t>Date de la simulation</t>
        </is>
      </c>
      <c r="B5" s="6" t="inlineStr">
        <is>
          <t>2026-10-09 22:32</t>
        </is>
      </c>
      <c r="C5" s="6" t="inlineStr">
        <is>
          <t>2026-10-09 22:32</t>
        </is>
      </c>
      <c r="F5" s="6" t="inlineStr">
        <is>
          <t>0 x</t>
        </is>
      </c>
      <c r="G5" s="56" t="n">
        <v>0.6996192733293443</v>
      </c>
      <c r="H5" s="56" t="n">
        <v>0.7007892950740482</v>
      </c>
    </row>
    <row r="6">
      <c r="A6" s="6" t="inlineStr">
        <is>
          <t>Spins simulés</t>
        </is>
      </c>
      <c r="B6" s="20" t="n">
        <v>3078340</v>
      </c>
      <c r="C6" s="20" t="n">
        <v>1535082</v>
      </c>
      <c r="F6" s="6" t="inlineStr">
        <is>
          <t>0 – 1 x</t>
        </is>
      </c>
      <c r="G6" s="56" t="n">
        <v>0.180270346466384</v>
      </c>
      <c r="H6" s="56" t="n">
        <v>0.1784255975275916</v>
      </c>
    </row>
    <row r="7">
      <c r="A7" s="6" t="inlineStr">
        <is>
          <t>Coût d'un spin (x mise)</t>
        </is>
      </c>
      <c r="B7" s="44" t="n">
        <v>1</v>
      </c>
      <c r="C7" s="44" t="n">
        <v>1.25</v>
      </c>
      <c r="F7" s="6" t="inlineStr">
        <is>
          <t>1 – 5 x</t>
        </is>
      </c>
      <c r="G7" s="56" t="n">
        <v>0.1107845617342869</v>
      </c>
      <c r="H7" s="56" t="n">
        <v>0.1089191759007165</v>
      </c>
    </row>
    <row r="8">
      <c r="A8" s="6" t="inlineStr">
        <is>
          <t>RTP des spins (hors bonus)</t>
        </is>
      </c>
      <c r="B8" s="29" t="n">
        <v>0.5888030533550216</v>
      </c>
      <c r="C8" s="29" t="n">
        <v>0.4645806141650528</v>
      </c>
      <c r="F8" s="6" t="inlineStr">
        <is>
          <t>5 – 20 x</t>
        </is>
      </c>
      <c r="G8" s="56" t="n">
        <v>0.007767980995735308</v>
      </c>
      <c r="H8" s="56" t="n">
        <v>0.009833971923809415</v>
      </c>
    </row>
    <row r="9">
      <c r="A9" s="6" t="inlineStr">
        <is>
          <t>RTP des bonus</t>
        </is>
      </c>
      <c r="B9" s="29" t="n">
        <v>0.3568642256532524</v>
      </c>
      <c r="C9" s="29" t="n">
        <v>0.5197012661056304</v>
      </c>
      <c r="F9" s="6" t="inlineStr">
        <is>
          <t>20 – 100 x</t>
        </is>
      </c>
      <c r="G9" s="56" t="n">
        <v>0.0005480605065355157</v>
      </c>
      <c r="H9" s="56" t="n">
        <v>0.0007293080700855172</v>
      </c>
    </row>
    <row r="10">
      <c r="A10" s="6" t="inlineStr">
        <is>
          <t>RTP total</t>
        </is>
      </c>
      <c r="B10" s="29" t="n">
        <v>0.9456672790082743</v>
      </c>
      <c r="C10" s="29" t="n">
        <v>0.984281880270683</v>
      </c>
      <c r="F10" s="6" t="inlineStr">
        <is>
          <t>100 – 1000 x</t>
        </is>
      </c>
      <c r="G10" s="56" t="n">
        <v>0.0008623815027859917</v>
      </c>
      <c r="H10" s="56" t="n">
        <v>0.001063976091671122</v>
      </c>
    </row>
    <row r="11">
      <c r="A11" s="6" t="inlineStr">
        <is>
          <t>Marge d'erreur RTP (± à 95 %)</t>
        </is>
      </c>
      <c r="B11" s="57" t="n">
        <v>0.0221287599106688</v>
      </c>
      <c r="C11" s="57" t="n">
        <v>0.03595189340215042</v>
      </c>
      <c r="F11" s="6" t="inlineStr">
        <is>
          <t>1000 x – max win</t>
        </is>
      </c>
      <c r="G11" s="56" t="n">
        <v>0.0001473750433704121</v>
      </c>
      <c r="H11" s="56" t="n">
        <v>0.0002386543380734879</v>
      </c>
    </row>
    <row r="12">
      <c r="A12" s="6" t="inlineStr">
        <is>
          <t>Hit frequency</t>
        </is>
      </c>
      <c r="B12" s="29" t="n">
        <v>0.3003807266706552</v>
      </c>
      <c r="C12" s="29" t="n">
        <v>0.2992107049259518</v>
      </c>
      <c r="F12" s="6" t="inlineStr">
        <is>
          <t>Max win atteint</t>
        </is>
      </c>
      <c r="G12" s="56" t="n">
        <v>2.042155708400434e-08</v>
      </c>
      <c r="H12" s="56" t="n">
        <v>2.107400403580947e-08</v>
      </c>
    </row>
    <row r="13">
      <c r="A13" s="6" t="inlineStr">
        <is>
          <t>Écart-type par tour (x mise)</t>
        </is>
      </c>
      <c r="B13" s="44" t="n">
        <v>24.62485937985256</v>
      </c>
      <c r="C13" s="44" t="n">
        <v>33.3147253852575</v>
      </c>
      <c r="F13" s="6" t="n"/>
      <c r="G13" s="57" t="n"/>
      <c r="H13" s="57" t="n"/>
    </row>
    <row r="14">
      <c r="A14" s="6" t="inlineStr">
        <is>
          <t>Bonus (tous) : 1 spin sur</t>
        </is>
      </c>
      <c r="B14" s="20" t="n">
        <v>180.8611204466233</v>
      </c>
      <c r="C14" s="20" t="n">
        <v>108.1091298326653</v>
      </c>
      <c r="F14" s="6" t="n"/>
      <c r="G14" s="57" t="n"/>
      <c r="H14" s="57" t="n"/>
    </row>
    <row r="15">
      <c r="A15" s="6" t="inlineStr">
        <is>
          <t>Bonus 1 : 1 spin sur</t>
        </is>
      </c>
      <c r="B15" s="20" t="n">
        <v>191.617590769405</v>
      </c>
      <c r="C15" s="20" t="n">
        <v>116.0726822694018</v>
      </c>
    </row>
    <row r="16">
      <c r="A16" s="6" t="inlineStr">
        <is>
          <t>Bonus 2 : 1 spin sur</t>
        </is>
      </c>
      <c r="B16" s="20" t="n">
        <v>3344.713124725586</v>
      </c>
      <c r="C16" s="20" t="n">
        <v>1657.912134993445</v>
      </c>
    </row>
    <row r="17">
      <c r="A17" s="6" t="inlineStr">
        <is>
          <t>Bonus 3 : 1 spin sur</t>
        </is>
      </c>
      <c r="B17" s="20" t="n">
        <v>87738.89687603264</v>
      </c>
      <c r="C17" s="20" t="n">
        <v>31793.72715816259</v>
      </c>
    </row>
    <row r="18">
      <c r="A18" s="6" t="inlineStr">
        <is>
          <t>Bonus 1 : gain moyen (x mise)</t>
        </is>
      </c>
      <c r="B18" s="51" t="n">
        <v>56.03337221951441</v>
      </c>
      <c r="C18" s="51" t="n">
        <v>58.08607784383116</v>
      </c>
    </row>
    <row r="19">
      <c r="A19" s="6" t="inlineStr">
        <is>
          <t>Bonus 2 : gain moyen (x mise)</t>
        </is>
      </c>
      <c r="B19" s="51" t="n">
        <v>151.4935473851667</v>
      </c>
      <c r="C19" s="51" t="n">
        <v>146.4051814212355</v>
      </c>
    </row>
    <row r="20">
      <c r="A20" s="6" t="inlineStr">
        <is>
          <t>Bonus 3 : gain moyen (x mise)</t>
        </is>
      </c>
      <c r="B20" s="51" t="n">
        <v>1680.014489336063</v>
      </c>
      <c r="C20" s="51" t="n">
        <v>1935.95584255784</v>
      </c>
    </row>
    <row r="21">
      <c r="A21" s="6" t="inlineStr">
        <is>
          <t>Bonus 1 : FS joués en moyenne</t>
        </is>
      </c>
      <c r="B21" s="44" t="n">
        <v>25.93482716889917</v>
      </c>
      <c r="C21" s="44" t="n">
        <v>25.79774950362885</v>
      </c>
    </row>
    <row r="22">
      <c r="A22" s="6" t="inlineStr">
        <is>
          <t>Bonus 2 : FS joués en moyenne</t>
        </is>
      </c>
      <c r="B22" s="44" t="n">
        <v>30.79813034088118</v>
      </c>
      <c r="C22" s="44" t="n">
        <v>30.83042691153424</v>
      </c>
    </row>
    <row r="23">
      <c r="A23" s="6" t="inlineStr">
        <is>
          <t>Bonus 3 : FS joués en moyenne</t>
        </is>
      </c>
      <c r="B23" s="44" t="n">
        <v>7.049432521777755</v>
      </c>
      <c r="C23" s="44" t="n">
        <v>7.034164367770796</v>
      </c>
    </row>
    <row r="24">
      <c r="A24" s="6" t="inlineStr">
        <is>
          <t>Max win observé (x mise)</t>
        </is>
      </c>
      <c r="B24" s="51" t="n">
        <v>10000</v>
      </c>
      <c r="C24" s="51" t="n">
        <v>10000</v>
      </c>
    </row>
    <row r="25">
      <c r="A25" s="6" t="inlineStr">
        <is>
          <t>Spins avec au moins 1 globe</t>
        </is>
      </c>
      <c r="B25" s="29" t="n">
        <v>0.0008836304957335275</v>
      </c>
      <c r="C25" s="29" t="n">
        <v>0.0008771567291051974</v>
      </c>
    </row>
    <row r="26">
      <c r="A26" s="6" t="inlineStr">
        <is>
          <t>3 étoiles : etl40b (limite 0,9)</t>
        </is>
      </c>
      <c r="B26" s="58" t="n">
        <v>0.5812887374764568</v>
      </c>
      <c r="C26" s="58" t="n">
        <v>0.8428394216561748</v>
      </c>
    </row>
    <row r="27">
      <c r="A27" s="6" t="inlineStr">
        <is>
          <t>3 étoiles : etl10k (limite 0,8)</t>
        </is>
      </c>
      <c r="B27" s="58" t="n">
        <v>0.0002042155708400434</v>
      </c>
      <c r="C27" s="58" t="n">
        <v>0.0002107400403580947</v>
      </c>
    </row>
    <row r="28">
      <c r="A28" s="6" t="inlineStr">
        <is>
          <t>Max win atteint : 1 tour sur</t>
        </is>
      </c>
      <c r="B28" s="20" t="n">
        <v>48967862.53303246</v>
      </c>
      <c r="C28" s="20" t="n">
        <v>47451827.29873143</v>
      </c>
    </row>
    <row r="29">
      <c r="A29" s="6" t="inlineStr">
        <is>
          <t>P(départ 3 symboles bonus ou moins → bonus 1)</t>
        </is>
      </c>
      <c r="B29" s="46" t="n">
        <v>0.005218727549932577</v>
      </c>
      <c r="C29" s="46" t="n">
        <v>0.0086152915608431</v>
      </c>
    </row>
    <row r="30">
      <c r="A30" s="6" t="inlineStr">
        <is>
          <t>P(départ 3 symboles bonus ou moins → bonus 2)</t>
        </is>
      </c>
      <c r="B30" s="46" t="n">
        <v>0.0001480537857394944</v>
      </c>
      <c r="C30" s="46" t="n">
        <v>0.0002932750441061707</v>
      </c>
    </row>
    <row r="31">
      <c r="A31" s="6" t="inlineStr">
        <is>
          <t>P(départ 3 symboles bonus ou moins → bonus 3)</t>
        </is>
      </c>
      <c r="B31" s="46" t="n">
        <v>6.646147203031276e-06</v>
      </c>
      <c r="C31" s="46" t="n">
        <v>1.888146469125243e-05</v>
      </c>
    </row>
    <row r="32">
      <c r="A32" s="6" t="inlineStr">
        <is>
          <t>P(départ 4 symboles bonus → bonus 1)</t>
        </is>
      </c>
      <c r="B32" s="46" t="n">
        <v>0</v>
      </c>
      <c r="C32" s="46" t="n">
        <v>0</v>
      </c>
    </row>
    <row r="33">
      <c r="A33" s="6" t="inlineStr">
        <is>
          <t>P(départ 4 symboles bonus → bonus 2)</t>
        </is>
      </c>
      <c r="B33" s="46" t="n">
        <v>0.0001509255176293602</v>
      </c>
      <c r="C33" s="46" t="n">
        <v>0.0003098932293466399</v>
      </c>
    </row>
    <row r="34">
      <c r="A34" s="6" t="inlineStr">
        <is>
          <t>P(départ 4 symboles bonus → bonus 3)</t>
        </is>
      </c>
      <c r="B34" s="46" t="n">
        <v>2.236160500698488e-06</v>
      </c>
      <c r="C34" s="46" t="n">
        <v>6.216831190563829e-06</v>
      </c>
    </row>
    <row r="35">
      <c r="A35" s="6" t="inlineStr">
        <is>
          <t>P(départ 5 symboles bonus → bonus 1)</t>
        </is>
      </c>
      <c r="B35" s="46" t="n">
        <v>0</v>
      </c>
      <c r="C35" s="46" t="n">
        <v>0</v>
      </c>
    </row>
    <row r="36">
      <c r="A36" s="6" t="inlineStr">
        <is>
          <t>P(départ 5 symboles bonus → bonus 2)</t>
        </is>
      </c>
      <c r="B36" s="46" t="n">
        <v>0</v>
      </c>
      <c r="C36" s="46" t="n">
        <v>0</v>
      </c>
    </row>
    <row r="37">
      <c r="A37" s="6" t="inlineStr">
        <is>
          <t>P(départ 5 symboles bonus → bonus 3)</t>
        </is>
      </c>
      <c r="B37" s="46" t="n">
        <v>2.515145827229671e-06</v>
      </c>
      <c r="C37" s="46" t="n">
        <v>6.354449341318956e-06</v>
      </c>
    </row>
    <row r="40">
      <c r="A40" s="5" t="inlineStr">
        <is>
          <t>Chaque bonus joué directement</t>
        </is>
      </c>
      <c r="B40" s="5" t="inlineStr">
        <is>
          <t>Bonus 1</t>
        </is>
      </c>
      <c r="C40" s="5" t="inlineStr">
        <is>
          <t>Bonus 2</t>
        </is>
      </c>
      <c r="D40" s="5" t="inlineStr">
        <is>
          <t>Bonus 3</t>
        </is>
      </c>
    </row>
    <row r="41">
      <c r="A41" s="6" t="inlineStr">
        <is>
          <t>Sessions simulées</t>
        </is>
      </c>
      <c r="B41" s="20" t="n">
        <v>100000</v>
      </c>
      <c r="C41" s="20" t="n">
        <v>100000</v>
      </c>
      <c r="D41" s="20" t="n">
        <v>100000</v>
      </c>
    </row>
    <row r="42">
      <c r="A42" s="6" t="inlineStr">
        <is>
          <t>Prix d'achat (x mise)</t>
        </is>
      </c>
      <c r="B42" s="20" t="n">
        <v>59</v>
      </c>
      <c r="C42" s="20" t="n">
        <v>160</v>
      </c>
      <c r="D42" s="20" t="n"/>
    </row>
    <row r="43">
      <c r="A43" s="6" t="inlineStr">
        <is>
          <t>Gain moyen (x mise)</t>
        </is>
      </c>
      <c r="B43" s="51" t="n">
        <v>55.57481900000001</v>
      </c>
      <c r="C43" s="51" t="n">
        <v>154.061631</v>
      </c>
      <c r="D43" s="51" t="n">
        <v>1697.936527</v>
      </c>
    </row>
    <row r="44">
      <c r="A44" s="6" t="inlineStr">
        <is>
          <t>RTP au prix actuel</t>
        </is>
      </c>
      <c r="B44" s="29" t="n">
        <v>0.9419460847457629</v>
      </c>
      <c r="C44" s="29" t="n">
        <v>0.9628851937500003</v>
      </c>
      <c r="D44" s="29" t="n"/>
    </row>
    <row r="45">
      <c r="A45" s="6" t="inlineStr">
        <is>
          <t>Prix conseillé (gain moyen / RTP cible)</t>
        </is>
      </c>
      <c r="B45" s="47" t="n">
        <v>57.89043645833334</v>
      </c>
      <c r="C45" s="47" t="n">
        <v>160.480865625</v>
      </c>
      <c r="D45" s="47" t="n">
        <v>1768.683882291667</v>
      </c>
    </row>
    <row r="46">
      <c r="A46" s="6" t="inlineStr">
        <is>
          <t>Gain médian (x mise)</t>
        </is>
      </c>
      <c r="B46" s="51" t="n">
        <v>7.6</v>
      </c>
      <c r="C46" s="51" t="n">
        <v>10</v>
      </c>
      <c r="D46" s="51" t="n">
        <v>1594.7</v>
      </c>
    </row>
    <row r="47">
      <c r="A47" s="6" t="inlineStr">
        <is>
          <t>Max win observé (x mise)</t>
        </is>
      </c>
      <c r="B47" s="51" t="n">
        <v>10000</v>
      </c>
      <c r="C47" s="51" t="n">
        <v>10000</v>
      </c>
      <c r="D47" s="51" t="n">
        <v>7863.400000000001</v>
      </c>
    </row>
    <row r="48">
      <c r="A48" s="6" t="inlineStr">
        <is>
          <t>3 étoiles : etl40b (limite 0,9)</t>
        </is>
      </c>
      <c r="B48" s="58" t="n">
        <v>5.375398000000001</v>
      </c>
      <c r="C48" s="58" t="n">
        <v>4.790161999999999</v>
      </c>
      <c r="D48" s="58" t="n"/>
    </row>
    <row r="49">
      <c r="A49" s="6" t="inlineStr">
        <is>
          <t>3 étoiles : etl10k (limite 0,8)</t>
        </is>
      </c>
      <c r="B49" s="58" t="n">
        <v>0.1</v>
      </c>
      <c r="C49" s="58" t="n">
        <v>1</v>
      </c>
      <c r="D49" s="58" t="n"/>
    </row>
    <row r="51">
      <c r="A51" s="12" t="inlineStr">
        <is>
          <t>RTP par symbole (x mise par spin de base)</t>
        </is>
      </c>
    </row>
    <row r="52">
      <c r="A52" s="5" t="inlineStr">
        <is>
          <t>Code</t>
        </is>
      </c>
      <c r="B52" s="5" t="inlineStr">
        <is>
          <t>Symbole</t>
        </is>
      </c>
      <c r="C52" s="5" t="inlineStr">
        <is>
          <t>Spins (hors bonus)</t>
        </is>
      </c>
      <c r="D52" s="5" t="inlineStr">
        <is>
          <t>Bonus</t>
        </is>
      </c>
    </row>
    <row r="53">
      <c r="A53" t="inlineStr">
        <is>
          <t>H1</t>
        </is>
      </c>
      <c r="B53" t="inlineStr">
        <is>
          <t>Premium 1</t>
        </is>
      </c>
      <c r="C53" s="59" t="n">
        <v>0.02966690726466617</v>
      </c>
      <c r="D53" s="59" t="n">
        <v>0.03432391431590976</v>
      </c>
    </row>
    <row r="54">
      <c r="A54" t="inlineStr">
        <is>
          <t>H2</t>
        </is>
      </c>
      <c r="B54" t="inlineStr">
        <is>
          <t>Premium 2</t>
        </is>
      </c>
      <c r="C54" s="59" t="n">
        <v>0.03046711913212879</v>
      </c>
      <c r="D54" s="59" t="n">
        <v>0.03661636993259879</v>
      </c>
    </row>
    <row r="55">
      <c r="A55" t="inlineStr">
        <is>
          <t>H3</t>
        </is>
      </c>
      <c r="B55" t="inlineStr">
        <is>
          <t>Premium 3</t>
        </is>
      </c>
      <c r="C55" s="59" t="n">
        <v>0.03260964870960426</v>
      </c>
      <c r="D55" s="59" t="n">
        <v>0.03496682427720412</v>
      </c>
    </row>
    <row r="56">
      <c r="A56" t="inlineStr">
        <is>
          <t>M1</t>
        </is>
      </c>
      <c r="B56" t="inlineStr">
        <is>
          <t>Moyen 1</t>
        </is>
      </c>
      <c r="C56" s="59" t="n">
        <v>0.0500157887308379</v>
      </c>
      <c r="D56" s="59" t="n">
        <v>0.04261317401530737</v>
      </c>
    </row>
    <row r="57">
      <c r="A57" t="inlineStr">
        <is>
          <t>L1</t>
        </is>
      </c>
      <c r="B57" t="inlineStr">
        <is>
          <t>Bas 1</t>
        </is>
      </c>
      <c r="C57" s="59" t="n">
        <v>0.1254984766173322</v>
      </c>
      <c r="D57" s="59" t="n">
        <v>0.0669502752248344</v>
      </c>
    </row>
    <row r="58">
      <c r="A58" t="inlineStr">
        <is>
          <t>L2</t>
        </is>
      </c>
      <c r="B58" t="inlineStr">
        <is>
          <t>Bas 2</t>
        </is>
      </c>
      <c r="C58" s="59" t="n">
        <v>0.1483918360915255</v>
      </c>
      <c r="D58" s="59" t="n">
        <v>0.06903050605968859</v>
      </c>
    </row>
    <row r="59">
      <c r="A59" t="inlineStr">
        <is>
          <t>L3</t>
        </is>
      </c>
      <c r="B59" t="inlineStr">
        <is>
          <t>Bas 3</t>
        </is>
      </c>
      <c r="C59" s="59" t="n">
        <v>0.1721532768089355</v>
      </c>
      <c r="D59" s="59" t="n">
        <v>0.07242697255659092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2026-10-09T22:31:57Z</dcterms:created>
  <dcterms:modified xmlns:dcterms="http://purl.org/dc/terms/" xmlns:xsi="http://www.w3.org/2001/XMLSchema-instance" xsi:type="dcterms:W3CDTF">2026-10-09T23:22:53Z</dcterms:modified>
</cp:coreProperties>
</file>