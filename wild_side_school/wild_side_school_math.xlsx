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Résumé" sheetId="2" state="visible" r:id="rId4"/>
    <sheet name="Config" sheetId="3" state="visible" r:id="rId5"/>
    <sheet name="Paytable" sheetId="4" state="visible" r:id="rId6"/>
    <sheet name="Lignes" sheetId="5" state="visible" r:id="rId7"/>
    <sheet name="Poids" sheetId="6" state="visible" r:id="rId8"/>
    <sheet name="Multis" sheetId="7" state="visible" r:id="rId9"/>
    <sheet name="Calc_Gains" sheetId="8" state="visible" r:id="rId10"/>
    <sheet name="Calc_Bonus" sheetId="9" state="visible" r:id="rId11"/>
    <sheet name="Simulation" sheetId="10" state="visible" r:id="rId12"/>
  </sheets>
  <definedNames>
    <definedName function="false" hidden="false" name="BUY_COUT" vbProcedure="false">Config!$B$16</definedName>
    <definedName function="false" hidden="false" name="BUY_FS" vbProcedure="false">Config!$B$17</definedName>
    <definedName function="false" hidden="false" name="FS_PAR_TROPHEE" vbProcedure="false">Config!$B$15</definedName>
    <definedName function="false" hidden="false" name="LIGNES" vbProcedure="false">Lignes!$B$5:$F$54</definedName>
    <definedName function="false" hidden="false" name="MAX_WIN" vbProcedure="false">Config!$B$11</definedName>
    <definedName function="false" hidden="false" name="MODE_GAIN" vbProcedure="false">Config!$B$7</definedName>
    <definedName function="false" hidden="false" name="MODE_MULTI" vbProcedure="false">Config!$B$12</definedName>
    <definedName function="false" hidden="false" name="MULTIS" vbProcedure="false">Multis!$A$5:$C$14</definedName>
    <definedName function="false" hidden="false" name="MULTI_GLOBE" vbProcedure="false">Config!$B$13</definedName>
    <definedName function="false" hidden="false" name="NB_LIGNES" vbProcedure="false">Config!$B$5</definedName>
    <definedName function="false" hidden="false" name="NB_PAYLINES" vbProcedure="false">Config!$B$8</definedName>
    <definedName function="false" hidden="false" name="NB_ROULEAUX" vbProcedure="false">Config!$B$6</definedName>
    <definedName function="false" hidden="false" name="NB_WAYS" vbProcedure="false">Config!$B$9</definedName>
    <definedName function="false" hidden="false" name="PAYTABLE" vbProcedure="false">Paytable!$A$4:$F$12</definedName>
    <definedName function="false" hidden="false" name="POIDS_BASE" vbProcedure="false">Poids!$A$5:$G$13</definedName>
    <definedName function="false" hidden="false" name="POIDS_FS" vbProcedure="false">Poids!$A$19:$G$27</definedName>
    <definedName function="false" hidden="false" name="RTP_CIBLE" vbProcedure="false">Config!$B$10</definedName>
    <definedName function="false" hidden="false" name="SCATTER_MIN" vbProcedure="false">Config!$B$14</definedName>
    <definedName function="false" hidden="false" name="SIM_BUY" vbProcedure="false">Config!$B$19</definedName>
    <definedName function="false" hidden="false" name="SIM_SEED" vbProcedure="false">Config!$B$20</definedName>
    <definedName function="false" hidden="false" name="SIM_SPINS" vbProcedure="false">Config!$B$18</definedName>
    <definedName function="false" hidden="false" name="TABLE_FS" vbProcedure="false">Config!$A$25:$B$27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<sst xmlns="http://schemas.openxmlformats.org/spreadsheetml/2006/main" count="340" uniqueCount="229">
  <si>
    <t xml:space="preserve">Wild Side School — modèle de maths (base réutilisable)</t>
  </si>
  <si>
    <t xml:space="preserve">Board et features modélisés</t>
  </si>
  <si>
    <t xml:space="preserve">• Grille 5 rouleaux × 5 lignes. Gains de 3, 4 ou 5 symboles, de gauche à droite à partir du rouleau 1, payés en x mise totale.</t>
  </si>
  <si>
    <t xml:space="preserve">• Mode de gain au choix (Config) : LINES = lignes de paiement de l'onglet Lignes (20 par défaut, meilleur gain par ligne) ou WAYS = 5^5 = 3 125 ways (gain par way).</t>
  </si>
  <si>
    <t xml:space="preserve">• 7 symboles payants (Singe, Sac à dos, Basket, Gourde, Pomme, Sifflet, Gomme), 1 symbole bonus (Trophée), 1 symbole spécial (Globe).</t>
  </si>
  <si>
    <t xml:space="preserve">• Globe : quand il tombe, les 8 cases autour de lui deviennent des multiplicateurs (valeurs tirées dans l'onglet Multis). Le globe porte lui-même un multi (1x par défaut).</t>
  </si>
  <si>
    <t xml:space="preserve">• Free spins : X trophées ou plus déclenchent des FS (table dans Config). Pendant les FS, chaque trophée qui tombe donne +1 FS.</t>
  </si>
  <si>
    <t xml:space="preserve">• Bonus buy : achat direct des FS pour un coût en x mise.</t>
  </si>
  <si>
    <t xml:space="preserve">Hypothèses à vérifier dans les règles du jeu (tout est réglable dans Config)</t>
  </si>
  <si>
    <t xml:space="preserve">• Mode des multiplicateurs (Config) : WILD_ADD = les cases multi sont des wilds, et les multis d'une même way s'additionnent (par défaut). WILD_MULT = wilds, mais les multis se multiplient. GLOBAL_SUM = les multis ne sont pas wild ; la somme des multis à l'écran multiplie le gain total du spin.</t>
  </si>
  <si>
    <t xml:space="preserve">• Mode de gain : le vrai mode du jeu n'est pas visible sur les captures. LINES est le réglage par défaut (en WAYS, une grille 5×5 à 7 symboles fait gagner 2 spins sur 3, ce qui est peu réaliste). À vérifier dans les règles du jeu.</t>
  </si>
  <si>
    <t xml:space="preserve">• Les trophées et les autres globes ne sont pas remplacés par les multis. Une ligne ou une way 100 % wild paie comme le 1er symbole PAY de la paytable (le Singe).</t>
  </si>
  <si>
    <t xml:space="preserve">• Les cases sont tirées indépendamment selon les poids de chaque rouleau (modèle à poids, pas de bandes de rouleaux). Les multis ne restent pas collés d'un FS à l'autre.</t>
  </si>
  <si>
    <t xml:space="preserve">• Les valeurs de la paytable, des poids et des multis sont des valeurs de départ calées pour ~96 % de RTP. Ce ne sont PAS les valeurs officielles du jeu (non publiées).</t>
  </si>
  <si>
    <t xml:space="preserve">Comment l'utiliser</t>
  </si>
  <si>
    <t xml:space="preserve">1. Config, Paytable, Poids, Multis : modifie uniquement les cellules en BLEU sur fond jaune. Tout le reste est calculé.</t>
  </si>
  <si>
    <t xml:space="preserve">2. Calc_Gains et Calc_Bonus se mettent à jour en direct : RTP exact des lignes/ways hors globe, fréquence du bonus, nombre moyen de FS avec retrigger.</t>
  </si>
  <si>
    <t xml:space="preserve">3. Le globe (multis autour, wilds) ne se calcule pas proprement en formule. Lance le simulateur pour le RTP exact :  python simulateur.py wild_side_school_math.xlsx</t>
  </si>
  <si>
    <t xml:space="preserve">   Il lit les paramètres, joue des millions de spins et écrit les résultats dans l'onglet Simulation. L'onglet Résumé compare tout avec le RTP cible.</t>
  </si>
  <si>
    <t xml:space="preserve">4. Pour une autre slot avec le même board : change les noms et les gains dans Paytable, ajuste les poids et les multis, puis relance le simulateur jusqu'à atteindre le RTP cible.</t>
  </si>
  <si>
    <t xml:space="preserve">   Pour ajouter un symbole payant : insère une ligne AU-DESSUS du Trophée dans Paytable, dans les 2 blocs de Poids et dans les 2 blocs de Calc_Gains (copie une ligne voisine). Garde le même ordre partout.</t>
  </si>
  <si>
    <t xml:space="preserve">Code couleur</t>
  </si>
  <si>
    <t xml:space="preserve">Bleu sur fond jaune = saisie  ·  Noir = formule  ·  Vert = lien vers un autre onglet  ·  Fond jaune vif = résultat clé</t>
  </si>
  <si>
    <t xml:space="preserve">Résumé du modèle</t>
  </si>
  <si>
    <t xml:space="preserve">Analytique = en direct. Simulation = dernière exécution de simulateur.py.</t>
  </si>
  <si>
    <t xml:space="preserve">Indicateur</t>
  </si>
  <si>
    <t xml:space="preserve">Valeur</t>
  </si>
  <si>
    <t xml:space="preserve">Source</t>
  </si>
  <si>
    <t xml:space="preserve">RTP cible</t>
  </si>
  <si>
    <t xml:space="preserve">Config</t>
  </si>
  <si>
    <t xml:space="preserve">Mode de gain</t>
  </si>
  <si>
    <t xml:space="preserve">Nombre de lignes / ways</t>
  </si>
  <si>
    <t xml:space="preserve">Mode des multiplicateurs</t>
  </si>
  <si>
    <t xml:space="preserve">Max win (x mise)</t>
  </si>
  <si>
    <t xml:space="preserve">ANALYTIQUE</t>
  </si>
  <si>
    <t xml:space="preserve">RTP jeu de base hors globe (exact)</t>
  </si>
  <si>
    <t xml:space="preserve">Calc_Gains</t>
  </si>
  <si>
    <t xml:space="preserve">Gain moyen par FS, hors globe (x mise)</t>
  </si>
  <si>
    <t xml:space="preserve">Bonus 1 spin sur</t>
  </si>
  <si>
    <t xml:space="preserve">Calc_Bonus</t>
  </si>
  <si>
    <t xml:space="preserve">FS moyens par bonus naturel</t>
  </si>
  <si>
    <t xml:space="preserve">FS moyens par bonus buy</t>
  </si>
  <si>
    <t xml:space="preserve">RTP free spins hors globe (estimation)</t>
  </si>
  <si>
    <t xml:space="preserve">Calc_Bonus × Calc_Gains</t>
  </si>
  <si>
    <t xml:space="preserve">Spins de base avec au moins 1 globe</t>
  </si>
  <si>
    <t xml:space="preserve">Spins FS avec au moins 1 globe</t>
  </si>
  <si>
    <t xml:space="preserve">Multi moyen — base / FS</t>
  </si>
  <si>
    <t xml:space="preserve">Multis</t>
  </si>
  <si>
    <t xml:space="preserve">SIMULATION (globe et multis inclus)</t>
  </si>
  <si>
    <t xml:space="preserve">RTP jeu de base</t>
  </si>
  <si>
    <t xml:space="preserve">Simulation</t>
  </si>
  <si>
    <t xml:space="preserve">RTP free spins</t>
  </si>
  <si>
    <t xml:space="preserve">RTP total</t>
  </si>
  <si>
    <t xml:space="preserve">Écart avec la cible</t>
  </si>
  <si>
    <t xml:space="preserve">Simulation − cible</t>
  </si>
  <si>
    <t xml:space="preserve">Statut</t>
  </si>
  <si>
    <t xml:space="preserve">Tolérance : max(0,2 %, marge d'erreur)</t>
  </si>
  <si>
    <t xml:space="preserve">Hit frequency</t>
  </si>
  <si>
    <t xml:space="preserve">Écart-type par round (volatilité)</t>
  </si>
  <si>
    <t xml:space="preserve">Bonus 1 spin sur (simulé)</t>
  </si>
  <si>
    <t xml:space="preserve">Gain moyen bonus naturel (x mise)</t>
  </si>
  <si>
    <t xml:space="preserve">Gain moyen bonus buy (x mise)</t>
  </si>
  <si>
    <t xml:space="preserve">RTP du bonus buy au prix actuel</t>
  </si>
  <si>
    <t xml:space="preserve">Prix conseillé du bonus buy (x mise)</t>
  </si>
  <si>
    <t xml:space="preserve">Gain moyen bonus buy / RTP cible</t>
  </si>
  <si>
    <t xml:space="preserve">Max win observé (x mise)</t>
  </si>
  <si>
    <t xml:space="preserve">Paramètres généraux</t>
  </si>
  <si>
    <t xml:space="preserve">Cellules bleues sur fond jaune = à modifier.</t>
  </si>
  <si>
    <t xml:space="preserve">Paramètre</t>
  </si>
  <si>
    <t xml:space="preserve">Notes</t>
  </si>
  <si>
    <t xml:space="preserve">Nombre de lignes (hauteur des rouleaux)</t>
  </si>
  <si>
    <t xml:space="preserve">Le tableau binomial de Calc_Bonus va jusqu'à 5 lignes.</t>
  </si>
  <si>
    <t xml:space="preserve">Nombre de rouleaux</t>
  </si>
  <si>
    <t xml:space="preserve">Fixe : le modèle est construit pour 5 rouleaux.</t>
  </si>
  <si>
    <t xml:space="preserve">LINES</t>
  </si>
  <si>
    <t xml:space="preserve">LINES = lignes de l'onglet Lignes · WAYS = 5^5 ways (gauche → droite).</t>
  </si>
  <si>
    <t xml:space="preserve">Nombre de lignes de paiement</t>
  </si>
  <si>
    <t xml:space="preserve">Calculé depuis l'onglet Lignes (utilisé en mode LINES).</t>
  </si>
  <si>
    <t xml:space="preserve">Nombre de façons de gagner</t>
  </si>
  <si>
    <t xml:space="preserve">Ways ou lignes selon le mode.</t>
  </si>
  <si>
    <t xml:space="preserve">Sert aux contrôles et au prix conseillé du bonus buy.</t>
  </si>
  <si>
    <t xml:space="preserve">Plafond par round (spin de base + son bonus).</t>
  </si>
  <si>
    <t xml:space="preserve">WILD_ADD</t>
  </si>
  <si>
    <t xml:space="preserve">WILD_ADD / WILD_MULT / GLOBAL_SUM (voir LISEZ-MOI).</t>
  </si>
  <si>
    <t xml:space="preserve">Multi porté par le globe</t>
  </si>
  <si>
    <t xml:space="preserve">Le globe affiche 1x sur la capture.</t>
  </si>
  <si>
    <t xml:space="preserve">Trophées minimum pour déclencher les FS</t>
  </si>
  <si>
    <t xml:space="preserve">Doit correspondre à la 1re ligne de la table des FS.</t>
  </si>
  <si>
    <t xml:space="preserve">FS ajoutés par trophée pendant les FS</t>
  </si>
  <si>
    <t xml:space="preserve">Retrigger : +1 FS par trophée.</t>
  </si>
  <si>
    <t xml:space="preserve">Coût du bonus buy (x mise)</t>
  </si>
  <si>
    <t xml:space="preserve">Prix d'achat des FS.</t>
  </si>
  <si>
    <t xml:space="preserve">FS donnés par le bonus buy</t>
  </si>
  <si>
    <t xml:space="preserve">Nombre de FS de départ quand on achète.</t>
  </si>
  <si>
    <t xml:space="preserve">Spins de base simulés</t>
  </si>
  <si>
    <t xml:space="preserve">Plus c'est grand, plus le RTP simulé est précis.</t>
  </si>
  <si>
    <t xml:space="preserve">Sessions de bonus buy simulées</t>
  </si>
  <si>
    <t xml:space="preserve">Graine aléatoire</t>
  </si>
  <si>
    <t xml:space="preserve">Même graine = mêmes résultats.</t>
  </si>
  <si>
    <t xml:space="preserve">Table de déclenchement des free spins</t>
  </si>
  <si>
    <t xml:space="preserve">Trophées sur la grille</t>
  </si>
  <si>
    <t xml:space="preserve">FS donnés</t>
  </si>
  <si>
    <t xml:space="preserve">Dernière ligne = « et plus »</t>
  </si>
  <si>
    <t xml:space="preserve">Table de paiement (x mise totale, par ligne ou par way)</t>
  </si>
  <si>
    <t xml:space="preserve">Types : PAY = symbole payant · SCATTER = trophée bonus · GLOBE = globe à multis. Le 1er PAY est le plus fort.</t>
  </si>
  <si>
    <t xml:space="preserve">Code</t>
  </si>
  <si>
    <t xml:space="preserve">Symbole</t>
  </si>
  <si>
    <t xml:space="preserve">Type</t>
  </si>
  <si>
    <t xml:space="preserve">3 ×</t>
  </si>
  <si>
    <t xml:space="preserve">4 ×</t>
  </si>
  <si>
    <t xml:space="preserve">5 ×</t>
  </si>
  <si>
    <t xml:space="preserve">H1</t>
  </si>
  <si>
    <t xml:space="preserve">Singe</t>
  </si>
  <si>
    <t xml:space="preserve">PAY</t>
  </si>
  <si>
    <t xml:space="preserve">H2</t>
  </si>
  <si>
    <t xml:space="preserve">Sac à dos</t>
  </si>
  <si>
    <t xml:space="preserve">H3</t>
  </si>
  <si>
    <t xml:space="preserve">Basket</t>
  </si>
  <si>
    <t xml:space="preserve">M1</t>
  </si>
  <si>
    <t xml:space="preserve">Gourde</t>
  </si>
  <si>
    <t xml:space="preserve">L1</t>
  </si>
  <si>
    <t xml:space="preserve">Pomme</t>
  </si>
  <si>
    <t xml:space="preserve">L2</t>
  </si>
  <si>
    <t xml:space="preserve">Sifflet</t>
  </si>
  <si>
    <t xml:space="preserve">L3</t>
  </si>
  <si>
    <t xml:space="preserve">Gomme</t>
  </si>
  <si>
    <t xml:space="preserve">BN</t>
  </si>
  <si>
    <t xml:space="preserve">Trophée (bonus)</t>
  </si>
  <si>
    <t xml:space="preserve">SCATTER</t>
  </si>
  <si>
    <t xml:space="preserve">Ne paie pas : déclenche les FS, +1 FS par trophée pendant les FS.</t>
  </si>
  <si>
    <t xml:space="preserve">GL</t>
  </si>
  <si>
    <t xml:space="preserve">Globe</t>
  </si>
  <si>
    <t xml:space="preserve">GLOBE</t>
  </si>
  <si>
    <t xml:space="preserve">Ne paie pas : fait apparaître des multis sur les 8 cases autour.</t>
  </si>
  <si>
    <t xml:space="preserve">Lignes de paiement (mode LINES)</t>
  </si>
  <si>
    <t xml:space="preserve">Pour chaque ligne : la rangée utilisée sur chaque rouleau (1 = en haut, 5 = en bas). Ligne vide = ignorée. Jusqu'à 50 lignes.</t>
  </si>
  <si>
    <t xml:space="preserve">Ligne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</si>
  <si>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</si>
  <si>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</si>
  <si>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</si>
  <si>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</si>
  <si>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</si>
  <si>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Aperçu</t>
  </si>
  <si>
    <t xml:space="preserve">Poids des symboles par rouleau</t>
  </si>
  <si>
    <t xml:space="preserve">Probabilité d'une case = poids / total du rouleau. À droite : probabilités calculées.</t>
  </si>
  <si>
    <t xml:space="preserve">JEU DE BASE</t>
  </si>
  <si>
    <t xml:space="preserve">P(R1)</t>
  </si>
  <si>
    <t xml:space="preserve">P(R2)</t>
  </si>
  <si>
    <t xml:space="preserve">P(R3)</t>
  </si>
  <si>
    <t xml:space="preserve">P(R4)</t>
  </si>
  <si>
    <t xml:space="preserve">P(R5)</t>
  </si>
  <si>
    <t xml:space="preserve">Total</t>
  </si>
  <si>
    <t xml:space="preserve">FREE SPINS</t>
  </si>
  <si>
    <t xml:space="preserve">Multiplicateurs qui apparaissent autour du globe</t>
  </si>
  <si>
    <t xml:space="preserve">Chaque case voisine d'un globe reçoit une valeur tirée selon ces poids.</t>
  </si>
  <si>
    <t xml:space="preserve">Poids base</t>
  </si>
  <si>
    <t xml:space="preserve">Poids FS</t>
  </si>
  <si>
    <t xml:space="preserve">P base</t>
  </si>
  <si>
    <t xml:space="preserve">P FS</t>
  </si>
  <si>
    <t xml:space="preserve">Multi moyen</t>
  </si>
  <si>
    <t xml:space="preserve">La capture montre 5x, 6x et 8x autour d'un globe 1x. Les valeurs et poids sont des valeurs de départ, à ajuster.</t>
  </si>
  <si>
    <t xml:space="preserve">RTP des gains — calcul analytique exact HORS globe/multis</t>
  </si>
  <si>
    <t xml:space="preserve">WAYS : E[ways de longueur k] = Π(lignes × p_r, r ≤ k) × (1 − p_{k+1})^lignes. LINES : nb lignes × Π(p_r, r ≤ k) × (1 − p_{k+1}). Le globe et ses multis sont ajoutés par le simulateur.</t>
  </si>
  <si>
    <t xml:space="preserve">JEU DE BASE — RTP par spin hors globe</t>
  </si>
  <si>
    <t xml:space="preserve">p R1</t>
  </si>
  <si>
    <t xml:space="preserve">p R2</t>
  </si>
  <si>
    <t xml:space="preserve">p R3</t>
  </si>
  <si>
    <t xml:space="preserve">p R4</t>
  </si>
  <si>
    <t xml:space="preserve">p R5</t>
  </si>
  <si>
    <t xml:space="preserve">E[gains 3]</t>
  </si>
  <si>
    <t xml:space="preserve">E[gains 4]</t>
  </si>
  <si>
    <t xml:space="preserve">E[gains 5]</t>
  </si>
  <si>
    <t xml:space="preserve">RTP (x mise)</t>
  </si>
  <si>
    <t xml:space="preserve">% du bloc</t>
  </si>
  <si>
    <t xml:space="preserve">FREE SPINS — gain moyen par FS hors globe (x mise)</t>
  </si>
  <si>
    <t xml:space="preserve">Contrôle : mets le poids du Globe à 0 dans Poids, relance le simulateur. Le RTP de base simulé doit être égal au total ci-dessus.</t>
  </si>
  <si>
    <t xml:space="preserve">Fréquence du bonus, nombre de FS, fréquence du globe</t>
  </si>
  <si>
    <t xml:space="preserve">Nombre de trophées sur la grille = somme de 5 lois binomiales (une par rouleau), calculée par convolution.</t>
  </si>
  <si>
    <t xml:space="preserve">Probabilité d'une case</t>
  </si>
  <si>
    <t xml:space="preserve">Symbole / phase</t>
  </si>
  <si>
    <t xml:space="preserve">Trophée — base</t>
  </si>
  <si>
    <t xml:space="preserve">Trophée — FS</t>
  </si>
  <si>
    <t xml:space="preserve">Globe — base</t>
  </si>
  <si>
    <t xml:space="preserve">Globe — FS</t>
  </si>
  <si>
    <t xml:space="preserve">Loi du nombre de trophées par rouleau (jeu de base)</t>
  </si>
  <si>
    <t xml:space="preserve">k</t>
  </si>
  <si>
    <t xml:space="preserve">Convolution : nombre total de trophées sur la grille</t>
  </si>
  <si>
    <t xml:space="preserve">Résultats</t>
  </si>
  <si>
    <t xml:space="preserve">n</t>
  </si>
  <si>
    <t xml:space="preserve">R1–2</t>
  </si>
  <si>
    <t xml:space="preserve">R1–3</t>
  </si>
  <si>
    <t xml:space="preserve">R1–4</t>
  </si>
  <si>
    <t xml:space="preserve">R1–5</t>
  </si>
  <si>
    <t xml:space="preserve">P(déclenchement) par spin</t>
  </si>
  <si>
    <t xml:space="preserve">FS initiaux moyens (bonus naturel)</t>
  </si>
  <si>
    <t xml:space="preserve">Trophées moyens par FS (μ)</t>
  </si>
  <si>
    <t xml:space="preserve">FS ajoutés moyens par FS (μ × FS par trophée)</t>
  </si>
  <si>
    <t xml:space="preserve">FS moyens par bonus naturel (avec retrigger)</t>
  </si>
  <si>
    <t xml:space="preserve">FS moyens par bonus buy (avec retrigger)</t>
  </si>
  <si>
    <t xml:space="preserve">Globes moyens par spin — base</t>
  </si>
  <si>
    <t xml:space="preserve">P(au moins 1 globe) — base</t>
  </si>
  <si>
    <t xml:space="preserve">Globes moyens par spin — FS</t>
  </si>
  <si>
    <t xml:space="preserve">P(au moins 1 globe) — FS</t>
  </si>
  <si>
    <t xml:space="preserve">Retrigger : chaque FS rapporte en moyenne μ×k FS. Nombre moyen de FS = FS initiaux / (1 − μ×k), valable si μ×k &lt; 1.</t>
  </si>
  <si>
    <t xml:space="preserve">Résultats du simulateur (écrits par simulateur.py — ne pas saisir ici)</t>
  </si>
  <si>
    <t xml:space="preserve">Relance : python simulateur.py wild_side_school_math.xlsx</t>
  </si>
  <si>
    <t xml:space="preserve">Distribution des gains par round</t>
  </si>
  <si>
    <t xml:space="preserve">% des rounds</t>
  </si>
  <si>
    <t xml:space="preserve">Date de la simulation</t>
  </si>
  <si>
    <t xml:space="preserve">2026-10-09 18:25</t>
  </si>
  <si>
    <t xml:space="preserve">0 x</t>
  </si>
  <si>
    <t xml:space="preserve">0 – 1 x</t>
  </si>
  <si>
    <t xml:space="preserve">Sessions bonus buy simulées</t>
  </si>
  <si>
    <t xml:space="preserve">1 – 5 x</t>
  </si>
  <si>
    <t xml:space="preserve">RTP jeu de base (globe inclus)</t>
  </si>
  <si>
    <t xml:space="preserve">5 – 20 x</t>
  </si>
  <si>
    <t xml:space="preserve">20 – 100 x</t>
  </si>
  <si>
    <t xml:space="preserve">100 – 1000 x</t>
  </si>
  <si>
    <t xml:space="preserve">Marge d'erreur RTP (± à 95 %)</t>
  </si>
  <si>
    <t xml:space="preserve">1000 x – max win</t>
  </si>
  <si>
    <t xml:space="preserve">Max win atteint</t>
  </si>
  <si>
    <t xml:space="preserve">Écart-type par round (x mise)</t>
  </si>
  <si>
    <t xml:space="preserve">RTP du bonus buy</t>
  </si>
  <si>
    <t xml:space="preserve">Max win observé — jeu (x mise)</t>
  </si>
  <si>
    <t xml:space="preserve">Max win observé — bonus buy (x mise)</t>
  </si>
  <si>
    <t xml:space="preserve">RTP apporté par les spins de base avec globe</t>
  </si>
  <si>
    <t xml:space="preserve">RTP par symbole (x mise par spin de base)</t>
  </si>
  <si>
    <t xml:space="preserve">Jeu de base</t>
  </si>
  <si>
    <t xml:space="preserve">Free spins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</si>
</sst>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"/>
    <numFmt numFmtId="166" formatCode="#,##0"/>
    <numFmt numFmtId="167" formatCode="0.0000"/>
    <numFmt numFmtId="168" formatCode="0.00"/>
    <numFmt numFmtId="169" formatCode="\+0.00%;\-0.00%;0.00%"/>
    <numFmt numFmtId="170" formatCode="0.00\x"/>
    <numFmt numFmtId="171" formatCode="0.0000%"/>
    <numFmt numFmtId="172" formatCode="0.0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B57"/>
      <name val="Arial"/>
      <family val="0"/>
      <charset val="1"/>
    </font>
    <font>
      <b val="true"/>
      <sz val="11"/>
      <color rgb="FF1F3B57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E7EEF5"/>
      </patternFill>
    </fill>
    <fill>
      <patternFill patternType="solid">
        <fgColor rgb="FFE7EE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E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2" t="s">
        <v>8</v>
      </c>
    </row>
    <row r="12" customFormat="false" ht="23.85" hidden="false" customHeight="false" outlineLevel="0" collapsed="false">
      <c r="A12" s="3" t="s">
        <v>9</v>
      </c>
    </row>
    <row r="13" customFormat="false" ht="23.8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3" t="s">
        <v>19</v>
      </c>
    </row>
    <row r="24" customFormat="false" ht="23.85" hidden="false" customHeight="false" outlineLevel="0" collapsed="false">
      <c r="A24" s="3" t="s">
        <v>20</v>
      </c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36"/>
  </cols>
  <sheetData>
    <row r="1" customFormat="false" ht="17.35" hidden="false" customHeight="false" outlineLevel="0" collapsed="false">
      <c r="A1" s="1" t="s">
        <v>23</v>
      </c>
    </row>
    <row r="2" customFormat="false" ht="15" hidden="false" customHeight="false" outlineLevel="0" collapsed="false">
      <c r="A2" s="4" t="s">
        <v>24</v>
      </c>
    </row>
    <row r="4" customFormat="false" ht="15" hidden="false" customHeight="false" outlineLevel="0" collapsed="false">
      <c r="A4" s="5" t="s">
        <v>25</v>
      </c>
      <c r="B4" s="5" t="s">
        <v>26</v>
      </c>
      <c r="C4" s="5" t="s">
        <v>27</v>
      </c>
    </row>
    <row r="5" customFormat="false" ht="15" hidden="false" customHeight="false" outlineLevel="0" collapsed="false">
      <c r="A5" s="6" t="s">
        <v>28</v>
      </c>
      <c r="B5" s="7" t="n">
        <f aca="false">RTP_CIBLE</f>
        <v>0.96</v>
      </c>
      <c r="C5" s="8" t="s">
        <v>29</v>
      </c>
    </row>
    <row r="6" customFormat="false" ht="15" hidden="false" customHeight="false" outlineLevel="0" collapsed="false">
      <c r="A6" s="6" t="s">
        <v>30</v>
      </c>
      <c r="B6" s="9" t="str">
        <f aca="false">MODE_GAIN</f>
        <v>LINES</v>
      </c>
      <c r="C6" s="8" t="s">
        <v>29</v>
      </c>
    </row>
    <row r="7" customFormat="false" ht="15" hidden="false" customHeight="false" outlineLevel="0" collapsed="false">
      <c r="A7" s="6" t="s">
        <v>31</v>
      </c>
      <c r="B7" s="10" t="n">
        <f aca="false">NB_WAYS</f>
        <v>20</v>
      </c>
      <c r="C7" s="8" t="s">
        <v>29</v>
      </c>
    </row>
    <row r="8" customFormat="false" ht="15" hidden="false" customHeight="false" outlineLevel="0" collapsed="false">
      <c r="A8" s="6" t="s">
        <v>32</v>
      </c>
      <c r="B8" s="9" t="str">
        <f aca="false">MODE_MULTI</f>
        <v>WILD_ADD</v>
      </c>
      <c r="C8" s="8" t="s">
        <v>29</v>
      </c>
    </row>
    <row r="9" customFormat="false" ht="15" hidden="false" customHeight="false" outlineLevel="0" collapsed="false">
      <c r="A9" s="6" t="s">
        <v>33</v>
      </c>
      <c r="B9" s="10" t="n">
        <f aca="false">MAX_WIN</f>
        <v>5000</v>
      </c>
      <c r="C9" s="8" t="s">
        <v>29</v>
      </c>
    </row>
    <row r="11" customFormat="false" ht="15" hidden="false" customHeight="false" outlineLevel="0" collapsed="false">
      <c r="A11" s="11" t="s">
        <v>34</v>
      </c>
    </row>
    <row r="12" customFormat="false" ht="15" hidden="false" customHeight="false" outlineLevel="0" collapsed="false">
      <c r="A12" s="12" t="s">
        <v>35</v>
      </c>
      <c r="B12" s="13" t="n">
        <f aca="false">Calc_Gains!K12</f>
        <v>0.2685949212761</v>
      </c>
      <c r="C12" s="8" t="s">
        <v>36</v>
      </c>
    </row>
    <row r="13" customFormat="false" ht="15" hidden="false" customHeight="false" outlineLevel="0" collapsed="false">
      <c r="A13" s="6" t="s">
        <v>37</v>
      </c>
      <c r="B13" s="14" t="n">
        <f aca="false">Calc_Gains!K24</f>
        <v>0.250106068829713</v>
      </c>
      <c r="C13" s="8" t="s">
        <v>36</v>
      </c>
    </row>
    <row r="14" customFormat="false" ht="15" hidden="false" customHeight="false" outlineLevel="0" collapsed="false">
      <c r="A14" s="6" t="s">
        <v>38</v>
      </c>
      <c r="B14" s="10" t="n">
        <f aca="false">Calc_Bonus!I22</f>
        <v>160.967018789321</v>
      </c>
      <c r="C14" s="8" t="s">
        <v>39</v>
      </c>
    </row>
    <row r="15" customFormat="false" ht="15" hidden="false" customHeight="false" outlineLevel="0" collapsed="false">
      <c r="A15" s="6" t="s">
        <v>40</v>
      </c>
      <c r="B15" s="15" t="n">
        <f aca="false">Calc_Bonus!I29</f>
        <v>24.5556276828887</v>
      </c>
      <c r="C15" s="8" t="s">
        <v>39</v>
      </c>
    </row>
    <row r="16" customFormat="false" ht="15" hidden="false" customHeight="false" outlineLevel="0" collapsed="false">
      <c r="A16" s="6" t="s">
        <v>41</v>
      </c>
      <c r="B16" s="15" t="n">
        <f aca="false">Calc_Bonus!I30</f>
        <v>24.1182176689</v>
      </c>
      <c r="C16" s="8" t="s">
        <v>39</v>
      </c>
    </row>
    <row r="17" customFormat="false" ht="15" hidden="false" customHeight="false" outlineLevel="0" collapsed="false">
      <c r="A17" s="6" t="s">
        <v>42</v>
      </c>
      <c r="B17" s="16" t="n">
        <f aca="false">IF(ISNUMBER(Calc_Bonus!I29),Calc_Bonus!I21*Calc_Bonus!I29*Calc_Gains!K24,"-")</f>
        <v>0.0381538501092052</v>
      </c>
      <c r="C17" s="8" t="s">
        <v>43</v>
      </c>
    </row>
    <row r="18" customFormat="false" ht="15" hidden="false" customHeight="false" outlineLevel="0" collapsed="false">
      <c r="A18" s="6" t="s">
        <v>44</v>
      </c>
      <c r="B18" s="7" t="n">
        <f aca="false">Calc_Bonus!I32</f>
        <v>0.00419491142248873</v>
      </c>
      <c r="C18" s="8" t="s">
        <v>39</v>
      </c>
    </row>
    <row r="19" customFormat="false" ht="15" hidden="false" customHeight="false" outlineLevel="0" collapsed="false">
      <c r="A19" s="6" t="s">
        <v>45</v>
      </c>
      <c r="B19" s="7" t="n">
        <f aca="false">Calc_Bonus!I34</f>
        <v>0.0288612581165529</v>
      </c>
      <c r="C19" s="8" t="s">
        <v>39</v>
      </c>
    </row>
    <row r="20" customFormat="false" ht="15" hidden="false" customHeight="false" outlineLevel="0" collapsed="false">
      <c r="A20" s="6" t="s">
        <v>46</v>
      </c>
      <c r="B20" s="9" t="str">
        <f aca="false">TEXT(Multis!D16,"0.00")&amp;"x / "&amp;TEXT(Multis!E16,"0.00")&amp;"x"</f>
        <v>3.15x / 4.31x</v>
      </c>
      <c r="C20" s="8" t="s">
        <v>47</v>
      </c>
    </row>
    <row r="22" customFormat="false" ht="15" hidden="false" customHeight="false" outlineLevel="0" collapsed="false">
      <c r="A22" s="11" t="s">
        <v>48</v>
      </c>
    </row>
    <row r="23" customFormat="false" ht="15" hidden="false" customHeight="false" outlineLevel="0" collapsed="false">
      <c r="A23" s="6" t="s">
        <v>49</v>
      </c>
      <c r="B23" s="7" t="n">
        <f aca="false">Simulation!B8</f>
        <v>0.52667235</v>
      </c>
      <c r="C23" s="8" t="s">
        <v>50</v>
      </c>
    </row>
    <row r="24" customFormat="false" ht="15" hidden="false" customHeight="false" outlineLevel="0" collapsed="false">
      <c r="A24" s="6" t="s">
        <v>51</v>
      </c>
      <c r="B24" s="7" t="n">
        <f aca="false">Simulation!B9</f>
        <v>0.424045725</v>
      </c>
      <c r="C24" s="8" t="s">
        <v>50</v>
      </c>
    </row>
    <row r="25" customFormat="false" ht="15" hidden="false" customHeight="false" outlineLevel="0" collapsed="false">
      <c r="A25" s="12" t="s">
        <v>52</v>
      </c>
      <c r="B25" s="13" t="n">
        <f aca="false">Simulation!B10</f>
        <v>0.950718075</v>
      </c>
      <c r="C25" s="8" t="s">
        <v>50</v>
      </c>
    </row>
    <row r="26" customFormat="false" ht="15" hidden="false" customHeight="false" outlineLevel="0" collapsed="false">
      <c r="A26" s="6" t="s">
        <v>53</v>
      </c>
      <c r="B26" s="17" t="n">
        <f aca="false">IF(ISNUMBER(Simulation!B10),Simulation!B10-RTP_CIBLE,"-")</f>
        <v>-0.00928192499999991</v>
      </c>
      <c r="C26" s="8" t="s">
        <v>54</v>
      </c>
    </row>
    <row r="27" customFormat="false" ht="15" hidden="false" customHeight="false" outlineLevel="0" collapsed="false">
      <c r="A27" s="12" t="s">
        <v>55</v>
      </c>
      <c r="B27" s="18" t="str">
        <f aca="false">IF(NOT(ISNUMBER(Simulation!B10)),"Lance le simulateur",IF(ABS(Simulation!B10-RTP_CIBLE)&lt;=MAX(0.002,Simulation!B11),"OK","À ajuster"))</f>
        <v>OK</v>
      </c>
      <c r="C27" s="8" t="s">
        <v>56</v>
      </c>
    </row>
    <row r="28" customFormat="false" ht="15" hidden="false" customHeight="false" outlineLevel="0" collapsed="false">
      <c r="A28" s="6" t="s">
        <v>57</v>
      </c>
      <c r="B28" s="7" t="n">
        <f aca="false">Simulation!B12</f>
        <v>0.402391</v>
      </c>
      <c r="C28" s="8" t="s">
        <v>50</v>
      </c>
    </row>
    <row r="29" customFormat="false" ht="15" hidden="false" customHeight="false" outlineLevel="0" collapsed="false">
      <c r="A29" s="6" t="s">
        <v>58</v>
      </c>
      <c r="B29" s="15" t="n">
        <f aca="false">Simulation!B13</f>
        <v>13.4523264663819</v>
      </c>
      <c r="C29" s="8" t="s">
        <v>50</v>
      </c>
    </row>
    <row r="30" customFormat="false" ht="15" hidden="false" customHeight="false" outlineLevel="0" collapsed="false">
      <c r="A30" s="6" t="s">
        <v>59</v>
      </c>
      <c r="B30" s="10" t="n">
        <f aca="false">Simulation!B14</f>
        <v>161.394448030988</v>
      </c>
      <c r="C30" s="8" t="s">
        <v>50</v>
      </c>
    </row>
    <row r="31" customFormat="false" ht="15" hidden="false" customHeight="false" outlineLevel="0" collapsed="false">
      <c r="A31" s="6" t="s">
        <v>60</v>
      </c>
      <c r="B31" s="19" t="n">
        <f aca="false">Simulation!B16</f>
        <v>68.438625726275</v>
      </c>
      <c r="C31" s="8" t="s">
        <v>50</v>
      </c>
    </row>
    <row r="32" customFormat="false" ht="15" hidden="false" customHeight="false" outlineLevel="0" collapsed="false">
      <c r="A32" s="6" t="s">
        <v>61</v>
      </c>
      <c r="B32" s="19" t="n">
        <f aca="false">Simulation!B17</f>
        <v>69.285536</v>
      </c>
      <c r="C32" s="8" t="s">
        <v>50</v>
      </c>
    </row>
    <row r="33" customFormat="false" ht="15" hidden="false" customHeight="false" outlineLevel="0" collapsed="false">
      <c r="A33" s="6" t="s">
        <v>62</v>
      </c>
      <c r="B33" s="7" t="n">
        <f aca="false">Simulation!B18</f>
        <v>0.962299111111111</v>
      </c>
      <c r="C33" s="8" t="s">
        <v>50</v>
      </c>
    </row>
    <row r="34" customFormat="false" ht="15" hidden="false" customHeight="false" outlineLevel="0" collapsed="false">
      <c r="A34" s="12" t="s">
        <v>63</v>
      </c>
      <c r="B34" s="20" t="n">
        <f aca="false">IF(ISNUMBER(Simulation!B17),Simulation!B17/RTP_CIBLE,"-")</f>
        <v>72.1724333333333</v>
      </c>
      <c r="C34" s="8" t="s">
        <v>64</v>
      </c>
    </row>
    <row r="35" customFormat="false" ht="15" hidden="false" customHeight="false" outlineLevel="0" collapsed="false">
      <c r="A35" s="6" t="s">
        <v>65</v>
      </c>
      <c r="B35" s="19" t="n">
        <f aca="false">Simulation!B19</f>
        <v>4475.7</v>
      </c>
      <c r="C35" s="8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66</v>
      </c>
    </row>
    <row r="2" customFormat="false" ht="15" hidden="false" customHeight="false" outlineLevel="0" collapsed="false">
      <c r="A2" s="4" t="s">
        <v>67</v>
      </c>
    </row>
    <row r="4" customFormat="false" ht="15" hidden="false" customHeight="false" outlineLevel="0" collapsed="false">
      <c r="A4" s="5" t="s">
        <v>68</v>
      </c>
      <c r="B4" s="5" t="s">
        <v>26</v>
      </c>
      <c r="C4" s="5" t="s">
        <v>69</v>
      </c>
    </row>
    <row r="5" customFormat="false" ht="15" hidden="false" customHeight="false" outlineLevel="0" collapsed="false">
      <c r="A5" s="6" t="s">
        <v>70</v>
      </c>
      <c r="B5" s="21" t="n">
        <v>5</v>
      </c>
      <c r="C5" s="8" t="s">
        <v>71</v>
      </c>
    </row>
    <row r="6" customFormat="false" ht="15" hidden="false" customHeight="false" outlineLevel="0" collapsed="false">
      <c r="A6" s="6" t="s">
        <v>72</v>
      </c>
      <c r="B6" s="22" t="n">
        <v>5</v>
      </c>
      <c r="C6" s="8" t="s">
        <v>73</v>
      </c>
    </row>
    <row r="7" customFormat="false" ht="15" hidden="false" customHeight="false" outlineLevel="0" collapsed="false">
      <c r="A7" s="6" t="s">
        <v>30</v>
      </c>
      <c r="B7" s="23" t="s">
        <v>74</v>
      </c>
      <c r="C7" s="8" t="s">
        <v>75</v>
      </c>
    </row>
    <row r="8" customFormat="false" ht="15" hidden="false" customHeight="false" outlineLevel="0" collapsed="false">
      <c r="A8" s="6" t="s">
        <v>76</v>
      </c>
      <c r="B8" s="22" t="n">
        <f aca="false">COUNT(Lignes!B5:B54)</f>
        <v>20</v>
      </c>
      <c r="C8" s="8" t="s">
        <v>77</v>
      </c>
    </row>
    <row r="9" customFormat="false" ht="15" hidden="false" customHeight="false" outlineLevel="0" collapsed="false">
      <c r="A9" s="6" t="s">
        <v>78</v>
      </c>
      <c r="B9" s="22" t="n">
        <f aca="false">IF(MODE_GAIN="WAYS",NB_LIGNES^NB_ROULEAUX,NB_PAYLINES)</f>
        <v>20</v>
      </c>
      <c r="C9" s="8" t="s">
        <v>79</v>
      </c>
    </row>
    <row r="10" customFormat="false" ht="15" hidden="false" customHeight="false" outlineLevel="0" collapsed="false">
      <c r="A10" s="6" t="s">
        <v>28</v>
      </c>
      <c r="B10" s="24" t="n">
        <v>0.96</v>
      </c>
      <c r="C10" s="8" t="s">
        <v>80</v>
      </c>
    </row>
    <row r="11" customFormat="false" ht="15" hidden="false" customHeight="false" outlineLevel="0" collapsed="false">
      <c r="A11" s="6" t="s">
        <v>33</v>
      </c>
      <c r="B11" s="21" t="n">
        <v>5000</v>
      </c>
      <c r="C11" s="8" t="s">
        <v>81</v>
      </c>
    </row>
    <row r="12" customFormat="false" ht="15" hidden="false" customHeight="false" outlineLevel="0" collapsed="false">
      <c r="A12" s="6" t="s">
        <v>32</v>
      </c>
      <c r="B12" s="23" t="s">
        <v>82</v>
      </c>
      <c r="C12" s="8" t="s">
        <v>83</v>
      </c>
    </row>
    <row r="13" customFormat="false" ht="15" hidden="false" customHeight="false" outlineLevel="0" collapsed="false">
      <c r="A13" s="6" t="s">
        <v>84</v>
      </c>
      <c r="B13" s="25" t="n">
        <v>1</v>
      </c>
      <c r="C13" s="8" t="s">
        <v>85</v>
      </c>
    </row>
    <row r="14" customFormat="false" ht="15" hidden="false" customHeight="false" outlineLevel="0" collapsed="false">
      <c r="A14" s="6" t="s">
        <v>86</v>
      </c>
      <c r="B14" s="21" t="n">
        <v>3</v>
      </c>
      <c r="C14" s="8" t="s">
        <v>87</v>
      </c>
    </row>
    <row r="15" customFormat="false" ht="15" hidden="false" customHeight="false" outlineLevel="0" collapsed="false">
      <c r="A15" s="6" t="s">
        <v>88</v>
      </c>
      <c r="B15" s="21" t="n">
        <v>1</v>
      </c>
      <c r="C15" s="8" t="s">
        <v>89</v>
      </c>
    </row>
    <row r="16" customFormat="false" ht="15" hidden="false" customHeight="false" outlineLevel="0" collapsed="false">
      <c r="A16" s="6" t="s">
        <v>90</v>
      </c>
      <c r="B16" s="21" t="n">
        <v>72</v>
      </c>
      <c r="C16" s="8" t="s">
        <v>91</v>
      </c>
    </row>
    <row r="17" customFormat="false" ht="15" hidden="false" customHeight="false" outlineLevel="0" collapsed="false">
      <c r="A17" s="6" t="s">
        <v>92</v>
      </c>
      <c r="B17" s="21" t="n">
        <v>10</v>
      </c>
      <c r="C17" s="8" t="s">
        <v>93</v>
      </c>
    </row>
    <row r="18" customFormat="false" ht="15" hidden="false" customHeight="false" outlineLevel="0" collapsed="false">
      <c r="A18" s="6" t="s">
        <v>94</v>
      </c>
      <c r="B18" s="21" t="n">
        <v>2000000</v>
      </c>
      <c r="C18" s="8" t="s">
        <v>95</v>
      </c>
    </row>
    <row r="19" customFormat="false" ht="15" hidden="false" customHeight="false" outlineLevel="0" collapsed="false">
      <c r="A19" s="6" t="s">
        <v>96</v>
      </c>
      <c r="B19" s="21" t="n">
        <v>100000</v>
      </c>
      <c r="C19" s="8"/>
    </row>
    <row r="20" customFormat="false" ht="15" hidden="false" customHeight="false" outlineLevel="0" collapsed="false">
      <c r="A20" s="6" t="s">
        <v>97</v>
      </c>
      <c r="B20" s="21" t="n">
        <v>12345</v>
      </c>
      <c r="C20" s="8" t="s">
        <v>98</v>
      </c>
    </row>
    <row r="23" customFormat="false" ht="15" hidden="false" customHeight="false" outlineLevel="0" collapsed="false">
      <c r="A23" s="11" t="s">
        <v>99</v>
      </c>
    </row>
    <row r="24" customFormat="false" ht="15" hidden="false" customHeight="false" outlineLevel="0" collapsed="false">
      <c r="A24" s="5" t="s">
        <v>100</v>
      </c>
      <c r="B24" s="5" t="s">
        <v>101</v>
      </c>
      <c r="C24" s="5" t="s">
        <v>69</v>
      </c>
    </row>
    <row r="25" customFormat="false" ht="15" hidden="false" customHeight="false" outlineLevel="0" collapsed="false">
      <c r="A25" s="21" t="n">
        <v>3</v>
      </c>
      <c r="B25" s="21" t="n">
        <v>10</v>
      </c>
      <c r="C25" s="8"/>
    </row>
    <row r="26" customFormat="false" ht="15" hidden="false" customHeight="false" outlineLevel="0" collapsed="false">
      <c r="A26" s="21" t="n">
        <v>4</v>
      </c>
      <c r="B26" s="21" t="n">
        <v>12</v>
      </c>
      <c r="C26" s="8"/>
    </row>
    <row r="27" customFormat="false" ht="15" hidden="false" customHeight="false" outlineLevel="0" collapsed="false">
      <c r="A27" s="21" t="n">
        <v>5</v>
      </c>
      <c r="B27" s="21" t="n">
        <v>15</v>
      </c>
      <c r="C27" s="8" t="s">
        <v>102</v>
      </c>
    </row>
  </sheetData>
  <dataValidations count="2">
    <dataValidation allowBlank="false" errorStyle="stop" operator="between" showDropDown="false" showErrorMessage="false" showInputMessage="false" sqref="B12" type="list">
      <formula1>"WILD_ADD,WILD_MULT,GLOBAL_SUM"</formula1>
      <formula2>0</formula2>
    </dataValidation>
    <dataValidation allowBlank="false" errorStyle="stop" operator="between" showDropDown="false" showErrorMessage="false" showInputMessage="false" sqref="B7" type="list">
      <formula1>"LINES,WAYS"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6" min="4" style="0" width="10"/>
    <col collapsed="false" customWidth="true" hidden="false" outlineLevel="0" max="7" min="7" style="0" width="64"/>
  </cols>
  <sheetData>
    <row r="1" customFormat="false" ht="17.35" hidden="false" customHeight="false" outlineLevel="0" collapsed="false">
      <c r="A1" s="1" t="s">
        <v>103</v>
      </c>
    </row>
    <row r="2" customFormat="false" ht="15" hidden="false" customHeight="false" outlineLevel="0" collapsed="false">
      <c r="A2" s="4" t="s">
        <v>104</v>
      </c>
    </row>
    <row r="3" customFormat="false" ht="15" hidden="false" customHeight="false" outlineLevel="0" collapsed="false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69</v>
      </c>
    </row>
    <row r="4" customFormat="false" ht="15" hidden="false" customHeight="false" outlineLevel="0" collapsed="false">
      <c r="A4" s="23" t="s">
        <v>111</v>
      </c>
      <c r="B4" s="23" t="s">
        <v>112</v>
      </c>
      <c r="C4" s="23" t="s">
        <v>113</v>
      </c>
      <c r="D4" s="25" t="n">
        <v>1.5</v>
      </c>
      <c r="E4" s="25" t="n">
        <v>5</v>
      </c>
      <c r="F4" s="25" t="n">
        <v>16</v>
      </c>
      <c r="G4" s="8"/>
    </row>
    <row r="5" customFormat="false" ht="15" hidden="false" customHeight="false" outlineLevel="0" collapsed="false">
      <c r="A5" s="23" t="s">
        <v>114</v>
      </c>
      <c r="B5" s="23" t="s">
        <v>115</v>
      </c>
      <c r="C5" s="23" t="s">
        <v>113</v>
      </c>
      <c r="D5" s="25" t="n">
        <v>1</v>
      </c>
      <c r="E5" s="25" t="n">
        <v>3.5</v>
      </c>
      <c r="F5" s="25" t="n">
        <v>8</v>
      </c>
      <c r="G5" s="8"/>
    </row>
    <row r="6" customFormat="false" ht="15" hidden="false" customHeight="false" outlineLevel="0" collapsed="false">
      <c r="A6" s="23" t="s">
        <v>116</v>
      </c>
      <c r="B6" s="23" t="s">
        <v>117</v>
      </c>
      <c r="C6" s="23" t="s">
        <v>113</v>
      </c>
      <c r="D6" s="25" t="n">
        <v>0.8</v>
      </c>
      <c r="E6" s="25" t="n">
        <v>2.2</v>
      </c>
      <c r="F6" s="25" t="n">
        <v>5.5</v>
      </c>
      <c r="G6" s="8"/>
    </row>
    <row r="7" customFormat="false" ht="15" hidden="false" customHeight="false" outlineLevel="0" collapsed="false">
      <c r="A7" s="23" t="s">
        <v>118</v>
      </c>
      <c r="B7" s="23" t="s">
        <v>119</v>
      </c>
      <c r="C7" s="23" t="s">
        <v>113</v>
      </c>
      <c r="D7" s="25" t="n">
        <v>0.6</v>
      </c>
      <c r="E7" s="25" t="n">
        <v>1.4</v>
      </c>
      <c r="F7" s="25" t="n">
        <v>3.4</v>
      </c>
      <c r="G7" s="8"/>
    </row>
    <row r="8" customFormat="false" ht="15" hidden="false" customHeight="false" outlineLevel="0" collapsed="false">
      <c r="A8" s="23" t="s">
        <v>120</v>
      </c>
      <c r="B8" s="23" t="s">
        <v>121</v>
      </c>
      <c r="C8" s="23" t="s">
        <v>113</v>
      </c>
      <c r="D8" s="25" t="n">
        <v>0.3</v>
      </c>
      <c r="E8" s="25" t="n">
        <v>0.8</v>
      </c>
      <c r="F8" s="25" t="n">
        <v>2.2</v>
      </c>
      <c r="G8" s="8"/>
    </row>
    <row r="9" customFormat="false" ht="15" hidden="false" customHeight="false" outlineLevel="0" collapsed="false">
      <c r="A9" s="23" t="s">
        <v>122</v>
      </c>
      <c r="B9" s="23" t="s">
        <v>123</v>
      </c>
      <c r="C9" s="23" t="s">
        <v>113</v>
      </c>
      <c r="D9" s="25" t="n">
        <v>0.25</v>
      </c>
      <c r="E9" s="25" t="n">
        <v>0.7</v>
      </c>
      <c r="F9" s="25" t="n">
        <v>1.7</v>
      </c>
      <c r="G9" s="8"/>
    </row>
    <row r="10" customFormat="false" ht="15" hidden="false" customHeight="false" outlineLevel="0" collapsed="false">
      <c r="A10" s="23" t="s">
        <v>124</v>
      </c>
      <c r="B10" s="23" t="s">
        <v>125</v>
      </c>
      <c r="C10" s="23" t="s">
        <v>113</v>
      </c>
      <c r="D10" s="25" t="n">
        <v>0.2</v>
      </c>
      <c r="E10" s="25" t="n">
        <v>0.6</v>
      </c>
      <c r="F10" s="25" t="n">
        <v>1.4</v>
      </c>
      <c r="G10" s="8"/>
    </row>
    <row r="11" customFormat="false" ht="15" hidden="false" customHeight="false" outlineLevel="0" collapsed="false">
      <c r="A11" s="23" t="s">
        <v>126</v>
      </c>
      <c r="B11" s="23" t="s">
        <v>127</v>
      </c>
      <c r="C11" s="23" t="s">
        <v>128</v>
      </c>
      <c r="D11" s="26" t="n">
        <v>0</v>
      </c>
      <c r="E11" s="26" t="n">
        <v>0</v>
      </c>
      <c r="F11" s="26" t="n">
        <v>0</v>
      </c>
      <c r="G11" s="8" t="s">
        <v>129</v>
      </c>
    </row>
    <row r="12" customFormat="false" ht="15" hidden="false" customHeight="false" outlineLevel="0" collapsed="false">
      <c r="A12" s="23" t="s">
        <v>130</v>
      </c>
      <c r="B12" s="23" t="s">
        <v>131</v>
      </c>
      <c r="C12" s="23" t="s">
        <v>132</v>
      </c>
      <c r="D12" s="26" t="n">
        <v>0</v>
      </c>
      <c r="E12" s="26" t="n">
        <v>0</v>
      </c>
      <c r="F12" s="26" t="n">
        <v>0</v>
      </c>
      <c r="G12" s="8" t="s">
        <v>133</v>
      </c>
    </row>
  </sheetData>
  <dataValidations count="1">
    <dataValidation allowBlank="false" errorStyle="stop" operator="between" showDropDown="false" showErrorMessage="false" showInputMessage="false" sqref="C4:C12" type="list">
      <formula1>"PAY,SCATTER,GLOBE"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7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134</v>
      </c>
    </row>
    <row r="2" customFormat="false" ht="15" hidden="false" customHeight="false" outlineLevel="0" collapsed="false">
      <c r="A2" s="4" t="s">
        <v>135</v>
      </c>
    </row>
    <row r="4" customFormat="false" ht="15" hidden="false" customHeight="false" outlineLevel="0" collapsed="false">
      <c r="A4" s="5" t="s">
        <v>136</v>
      </c>
      <c r="B4" s="5" t="s">
        <v>137</v>
      </c>
      <c r="C4" s="5" t="s">
        <v>138</v>
      </c>
      <c r="D4" s="5" t="s">
        <v>139</v>
      </c>
      <c r="E4" s="5" t="s">
        <v>140</v>
      </c>
      <c r="F4" s="5" t="s">
        <v>141</v>
      </c>
      <c r="G4" s="5" t="s">
        <v>142</v>
      </c>
    </row>
    <row r="5" customFormat="false" ht="15" hidden="false" customHeight="false" outlineLevel="0" collapsed="false">
      <c r="A5" s="27" t="n">
        <v>1</v>
      </c>
      <c r="B5" s="28" t="n">
        <v>1</v>
      </c>
      <c r="C5" s="28" t="n">
        <v>1</v>
      </c>
      <c r="D5" s="28" t="n">
        <v>1</v>
      </c>
      <c r="E5" s="28" t="n">
        <v>1</v>
      </c>
      <c r="F5" s="28" t="n">
        <v>1</v>
      </c>
      <c r="G5" s="8" t="str">
        <f aca="false">IF(COUNT(B5:F5)&lt;5,"",B5&amp;"-"&amp;C5&amp;"-"&amp;D5&amp;"-"&amp;E5&amp;"-"&amp;F5)</f>
        <v>1-1-1-1-1</v>
      </c>
    </row>
    <row r="6" customFormat="false" ht="15" hidden="false" customHeight="false" outlineLevel="0" collapsed="false">
      <c r="A6" s="27" t="n">
        <v>2</v>
      </c>
      <c r="B6" s="28" t="n">
        <v>2</v>
      </c>
      <c r="C6" s="28" t="n">
        <v>2</v>
      </c>
      <c r="D6" s="28" t="n">
        <v>2</v>
      </c>
      <c r="E6" s="28" t="n">
        <v>2</v>
      </c>
      <c r="F6" s="28" t="n">
        <v>2</v>
      </c>
      <c r="G6" s="8" t="str">
        <f aca="false">IF(COUNT(B6:F6)&lt;5,"",B6&amp;"-"&amp;C6&amp;"-"&amp;D6&amp;"-"&amp;E6&amp;"-"&amp;F6)</f>
        <v>2-2-2-2-2</v>
      </c>
    </row>
    <row r="7" customFormat="false" ht="15" hidden="false" customHeight="false" outlineLevel="0" collapsed="false">
      <c r="A7" s="27" t="n">
        <v>3</v>
      </c>
      <c r="B7" s="28" t="n">
        <v>3</v>
      </c>
      <c r="C7" s="28" t="n">
        <v>3</v>
      </c>
      <c r="D7" s="28" t="n">
        <v>3</v>
      </c>
      <c r="E7" s="28" t="n">
        <v>3</v>
      </c>
      <c r="F7" s="28" t="n">
        <v>3</v>
      </c>
      <c r="G7" s="8" t="str">
        <f aca="false">IF(COUNT(B7:F7)&lt;5,"",B7&amp;"-"&amp;C7&amp;"-"&amp;D7&amp;"-"&amp;E7&amp;"-"&amp;F7)</f>
        <v>3-3-3-3-3</v>
      </c>
    </row>
    <row r="8" customFormat="false" ht="15" hidden="false" customHeight="false" outlineLevel="0" collapsed="false">
      <c r="A8" s="27" t="n">
        <v>4</v>
      </c>
      <c r="B8" s="28" t="n">
        <v>4</v>
      </c>
      <c r="C8" s="28" t="n">
        <v>4</v>
      </c>
      <c r="D8" s="28" t="n">
        <v>4</v>
      </c>
      <c r="E8" s="28" t="n">
        <v>4</v>
      </c>
      <c r="F8" s="28" t="n">
        <v>4</v>
      </c>
      <c r="G8" s="8" t="str">
        <f aca="false">IF(COUNT(B8:F8)&lt;5,"",B8&amp;"-"&amp;C8&amp;"-"&amp;D8&amp;"-"&amp;E8&amp;"-"&amp;F8)</f>
        <v>4-4-4-4-4</v>
      </c>
    </row>
    <row r="9" customFormat="false" ht="15" hidden="false" customHeight="false" outlineLevel="0" collapsed="false">
      <c r="A9" s="27" t="n">
        <v>5</v>
      </c>
      <c r="B9" s="28" t="n">
        <v>5</v>
      </c>
      <c r="C9" s="28" t="n">
        <v>5</v>
      </c>
      <c r="D9" s="28" t="n">
        <v>5</v>
      </c>
      <c r="E9" s="28" t="n">
        <v>5</v>
      </c>
      <c r="F9" s="28" t="n">
        <v>5</v>
      </c>
      <c r="G9" s="8" t="str">
        <f aca="false">IF(COUNT(B9:F9)&lt;5,"",B9&amp;"-"&amp;C9&amp;"-"&amp;D9&amp;"-"&amp;E9&amp;"-"&amp;F9)</f>
        <v>5-5-5-5-5</v>
      </c>
    </row>
    <row r="10" customFormat="false" ht="15" hidden="false" customHeight="false" outlineLevel="0" collapsed="false">
      <c r="A10" s="27" t="n">
        <v>6</v>
      </c>
      <c r="B10" s="28" t="n">
        <v>1</v>
      </c>
      <c r="C10" s="28" t="n">
        <v>2</v>
      </c>
      <c r="D10" s="28" t="n">
        <v>3</v>
      </c>
      <c r="E10" s="28" t="n">
        <v>2</v>
      </c>
      <c r="F10" s="28" t="n">
        <v>1</v>
      </c>
      <c r="G10" s="8" t="str">
        <f aca="false">IF(COUNT(B10:F10)&lt;5,"",B10&amp;"-"&amp;C10&amp;"-"&amp;D10&amp;"-"&amp;E10&amp;"-"&amp;F10)</f>
        <v>1-2-3-2-1</v>
      </c>
    </row>
    <row r="11" customFormat="false" ht="15" hidden="false" customHeight="false" outlineLevel="0" collapsed="false">
      <c r="A11" s="27" t="n">
        <v>7</v>
      </c>
      <c r="B11" s="28" t="n">
        <v>2</v>
      </c>
      <c r="C11" s="28" t="n">
        <v>3</v>
      </c>
      <c r="D11" s="28" t="n">
        <v>4</v>
      </c>
      <c r="E11" s="28" t="n">
        <v>3</v>
      </c>
      <c r="F11" s="28" t="n">
        <v>2</v>
      </c>
      <c r="G11" s="8" t="str">
        <f aca="false">IF(COUNT(B11:F11)&lt;5,"",B11&amp;"-"&amp;C11&amp;"-"&amp;D11&amp;"-"&amp;E11&amp;"-"&amp;F11)</f>
        <v>2-3-4-3-2</v>
      </c>
    </row>
    <row r="12" customFormat="false" ht="15" hidden="false" customHeight="false" outlineLevel="0" collapsed="false">
      <c r="A12" s="27" t="n">
        <v>8</v>
      </c>
      <c r="B12" s="28" t="n">
        <v>3</v>
      </c>
      <c r="C12" s="28" t="n">
        <v>4</v>
      </c>
      <c r="D12" s="28" t="n">
        <v>5</v>
      </c>
      <c r="E12" s="28" t="n">
        <v>4</v>
      </c>
      <c r="F12" s="28" t="n">
        <v>3</v>
      </c>
      <c r="G12" s="8" t="str">
        <f aca="false">IF(COUNT(B12:F12)&lt;5,"",B12&amp;"-"&amp;C12&amp;"-"&amp;D12&amp;"-"&amp;E12&amp;"-"&amp;F12)</f>
        <v>3-4-5-4-3</v>
      </c>
    </row>
    <row r="13" customFormat="false" ht="15" hidden="false" customHeight="false" outlineLevel="0" collapsed="false">
      <c r="A13" s="27" t="n">
        <v>9</v>
      </c>
      <c r="B13" s="28" t="n">
        <v>5</v>
      </c>
      <c r="C13" s="28" t="n">
        <v>4</v>
      </c>
      <c r="D13" s="28" t="n">
        <v>3</v>
      </c>
      <c r="E13" s="28" t="n">
        <v>4</v>
      </c>
      <c r="F13" s="28" t="n">
        <v>5</v>
      </c>
      <c r="G13" s="8" t="str">
        <f aca="false">IF(COUNT(B13:F13)&lt;5,"",B13&amp;"-"&amp;C13&amp;"-"&amp;D13&amp;"-"&amp;E13&amp;"-"&amp;F13)</f>
        <v>5-4-3-4-5</v>
      </c>
    </row>
    <row r="14" customFormat="false" ht="15" hidden="false" customHeight="false" outlineLevel="0" collapsed="false">
      <c r="A14" s="27" t="n">
        <v>10</v>
      </c>
      <c r="B14" s="28" t="n">
        <v>4</v>
      </c>
      <c r="C14" s="28" t="n">
        <v>3</v>
      </c>
      <c r="D14" s="28" t="n">
        <v>2</v>
      </c>
      <c r="E14" s="28" t="n">
        <v>3</v>
      </c>
      <c r="F14" s="28" t="n">
        <v>4</v>
      </c>
      <c r="G14" s="8" t="str">
        <f aca="false">IF(COUNT(B14:F14)&lt;5,"",B14&amp;"-"&amp;C14&amp;"-"&amp;D14&amp;"-"&amp;E14&amp;"-"&amp;F14)</f>
        <v>4-3-2-3-4</v>
      </c>
    </row>
    <row r="15" customFormat="false" ht="15" hidden="false" customHeight="false" outlineLevel="0" collapsed="false">
      <c r="A15" s="27" t="n">
        <v>11</v>
      </c>
      <c r="B15" s="28" t="n">
        <v>3</v>
      </c>
      <c r="C15" s="28" t="n">
        <v>2</v>
      </c>
      <c r="D15" s="28" t="n">
        <v>1</v>
      </c>
      <c r="E15" s="28" t="n">
        <v>2</v>
      </c>
      <c r="F15" s="28" t="n">
        <v>3</v>
      </c>
      <c r="G15" s="8" t="str">
        <f aca="false">IF(COUNT(B15:F15)&lt;5,"",B15&amp;"-"&amp;C15&amp;"-"&amp;D15&amp;"-"&amp;E15&amp;"-"&amp;F15)</f>
        <v>3-2-1-2-3</v>
      </c>
    </row>
    <row r="16" customFormat="false" ht="15" hidden="false" customHeight="false" outlineLevel="0" collapsed="false">
      <c r="A16" s="27" t="n">
        <v>12</v>
      </c>
      <c r="B16" s="28" t="n">
        <v>1</v>
      </c>
      <c r="C16" s="28" t="n">
        <v>2</v>
      </c>
      <c r="D16" s="28" t="n">
        <v>1</v>
      </c>
      <c r="E16" s="28" t="n">
        <v>2</v>
      </c>
      <c r="F16" s="28" t="n">
        <v>1</v>
      </c>
      <c r="G16" s="8" t="str">
        <f aca="false">IF(COUNT(B16:F16)&lt;5,"",B16&amp;"-"&amp;C16&amp;"-"&amp;D16&amp;"-"&amp;E16&amp;"-"&amp;F16)</f>
        <v>1-2-1-2-1</v>
      </c>
    </row>
    <row r="17" customFormat="false" ht="15" hidden="false" customHeight="false" outlineLevel="0" collapsed="false">
      <c r="A17" s="27" t="n">
        <v>13</v>
      </c>
      <c r="B17" s="28" t="n">
        <v>2</v>
      </c>
      <c r="C17" s="28" t="n">
        <v>3</v>
      </c>
      <c r="D17" s="28" t="n">
        <v>2</v>
      </c>
      <c r="E17" s="28" t="n">
        <v>3</v>
      </c>
      <c r="F17" s="28" t="n">
        <v>2</v>
      </c>
      <c r="G17" s="8" t="str">
        <f aca="false">IF(COUNT(B17:F17)&lt;5,"",B17&amp;"-"&amp;C17&amp;"-"&amp;D17&amp;"-"&amp;E17&amp;"-"&amp;F17)</f>
        <v>2-3-2-3-2</v>
      </c>
    </row>
    <row r="18" customFormat="false" ht="15" hidden="false" customHeight="false" outlineLevel="0" collapsed="false">
      <c r="A18" s="27" t="n">
        <v>14</v>
      </c>
      <c r="B18" s="28" t="n">
        <v>3</v>
      </c>
      <c r="C18" s="28" t="n">
        <v>4</v>
      </c>
      <c r="D18" s="28" t="n">
        <v>3</v>
      </c>
      <c r="E18" s="28" t="n">
        <v>4</v>
      </c>
      <c r="F18" s="28" t="n">
        <v>3</v>
      </c>
      <c r="G18" s="8" t="str">
        <f aca="false">IF(COUNT(B18:F18)&lt;5,"",B18&amp;"-"&amp;C18&amp;"-"&amp;D18&amp;"-"&amp;E18&amp;"-"&amp;F18)</f>
        <v>3-4-3-4-3</v>
      </c>
    </row>
    <row r="19" customFormat="false" ht="15" hidden="false" customHeight="false" outlineLevel="0" collapsed="false">
      <c r="A19" s="27" t="n">
        <v>15</v>
      </c>
      <c r="B19" s="28" t="n">
        <v>4</v>
      </c>
      <c r="C19" s="28" t="n">
        <v>5</v>
      </c>
      <c r="D19" s="28" t="n">
        <v>4</v>
      </c>
      <c r="E19" s="28" t="n">
        <v>5</v>
      </c>
      <c r="F19" s="28" t="n">
        <v>4</v>
      </c>
      <c r="G19" s="8" t="str">
        <f aca="false">IF(COUNT(B19:F19)&lt;5,"",B19&amp;"-"&amp;C19&amp;"-"&amp;D19&amp;"-"&amp;E19&amp;"-"&amp;F19)</f>
        <v>4-5-4-5-4</v>
      </c>
    </row>
    <row r="20" customFormat="false" ht="15" hidden="false" customHeight="false" outlineLevel="0" collapsed="false">
      <c r="A20" s="27" t="n">
        <v>16</v>
      </c>
      <c r="B20" s="28" t="n">
        <v>5</v>
      </c>
      <c r="C20" s="28" t="n">
        <v>4</v>
      </c>
      <c r="D20" s="28" t="n">
        <v>5</v>
      </c>
      <c r="E20" s="28" t="n">
        <v>4</v>
      </c>
      <c r="F20" s="28" t="n">
        <v>5</v>
      </c>
      <c r="G20" s="8" t="str">
        <f aca="false">IF(COUNT(B20:F20)&lt;5,"",B20&amp;"-"&amp;C20&amp;"-"&amp;D20&amp;"-"&amp;E20&amp;"-"&amp;F20)</f>
        <v>5-4-5-4-5</v>
      </c>
    </row>
    <row r="21" customFormat="false" ht="15" hidden="false" customHeight="false" outlineLevel="0" collapsed="false">
      <c r="A21" s="27" t="n">
        <v>17</v>
      </c>
      <c r="B21" s="28" t="n">
        <v>4</v>
      </c>
      <c r="C21" s="28" t="n">
        <v>3</v>
      </c>
      <c r="D21" s="28" t="n">
        <v>4</v>
      </c>
      <c r="E21" s="28" t="n">
        <v>3</v>
      </c>
      <c r="F21" s="28" t="n">
        <v>4</v>
      </c>
      <c r="G21" s="8" t="str">
        <f aca="false">IF(COUNT(B21:F21)&lt;5,"",B21&amp;"-"&amp;C21&amp;"-"&amp;D21&amp;"-"&amp;E21&amp;"-"&amp;F21)</f>
        <v>4-3-4-3-4</v>
      </c>
    </row>
    <row r="22" customFormat="false" ht="15" hidden="false" customHeight="false" outlineLevel="0" collapsed="false">
      <c r="A22" s="27" t="n">
        <v>18</v>
      </c>
      <c r="B22" s="28" t="n">
        <v>3</v>
      </c>
      <c r="C22" s="28" t="n">
        <v>2</v>
      </c>
      <c r="D22" s="28" t="n">
        <v>3</v>
      </c>
      <c r="E22" s="28" t="n">
        <v>2</v>
      </c>
      <c r="F22" s="28" t="n">
        <v>3</v>
      </c>
      <c r="G22" s="8" t="str">
        <f aca="false">IF(COUNT(B22:F22)&lt;5,"",B22&amp;"-"&amp;C22&amp;"-"&amp;D22&amp;"-"&amp;E22&amp;"-"&amp;F22)</f>
        <v>3-2-3-2-3</v>
      </c>
    </row>
    <row r="23" customFormat="false" ht="15" hidden="false" customHeight="false" outlineLevel="0" collapsed="false">
      <c r="A23" s="27" t="n">
        <v>19</v>
      </c>
      <c r="B23" s="28" t="n">
        <v>2</v>
      </c>
      <c r="C23" s="28" t="n">
        <v>1</v>
      </c>
      <c r="D23" s="28" t="n">
        <v>2</v>
      </c>
      <c r="E23" s="28" t="n">
        <v>1</v>
      </c>
      <c r="F23" s="28" t="n">
        <v>2</v>
      </c>
      <c r="G23" s="8" t="str">
        <f aca="false">IF(COUNT(B23:F23)&lt;5,"",B23&amp;"-"&amp;C23&amp;"-"&amp;D23&amp;"-"&amp;E23&amp;"-"&amp;F23)</f>
        <v>2-1-2-1-2</v>
      </c>
    </row>
    <row r="24" customFormat="false" ht="15" hidden="false" customHeight="false" outlineLevel="0" collapsed="false">
      <c r="A24" s="27" t="n">
        <v>20</v>
      </c>
      <c r="B24" s="28" t="n">
        <v>1</v>
      </c>
      <c r="C24" s="28" t="n">
        <v>3</v>
      </c>
      <c r="D24" s="28" t="n">
        <v>5</v>
      </c>
      <c r="E24" s="28" t="n">
        <v>3</v>
      </c>
      <c r="F24" s="28" t="n">
        <v>1</v>
      </c>
      <c r="G24" s="8" t="str">
        <f aca="false">IF(COUNT(B24:F24)&lt;5,"",B24&amp;"-"&amp;C24&amp;"-"&amp;D24&amp;"-"&amp;E24&amp;"-"&amp;F24)</f>
        <v>1-3-5-3-1</v>
      </c>
    </row>
    <row r="25" customFormat="false" ht="15" hidden="false" customHeight="false" outlineLevel="0" collapsed="false">
      <c r="A25" s="27" t="n">
        <v>21</v>
      </c>
      <c r="B25" s="28"/>
      <c r="C25" s="28"/>
      <c r="D25" s="28"/>
      <c r="E25" s="28"/>
      <c r="F25" s="28"/>
      <c r="G25" s="8" t="str">
        <f aca="false">IF(COUNT(B25:F25)&lt;5,"",B25&amp;"-"&amp;C25&amp;"-"&amp;D25&amp;"-"&amp;E25&amp;"-"&amp;F25)</f>
        <v/>
      </c>
    </row>
    <row r="26" customFormat="false" ht="15" hidden="false" customHeight="false" outlineLevel="0" collapsed="false">
      <c r="A26" s="27" t="n">
        <v>22</v>
      </c>
      <c r="B26" s="28"/>
      <c r="C26" s="28"/>
      <c r="D26" s="28"/>
      <c r="E26" s="28"/>
      <c r="F26" s="28"/>
      <c r="G26" s="8" t="str">
        <f aca="false">IF(COUNT(B26:F26)&lt;5,"",B26&amp;"-"&amp;C26&amp;"-"&amp;D26&amp;"-"&amp;E26&amp;"-"&amp;F26)</f>
        <v/>
      </c>
    </row>
    <row r="27" customFormat="false" ht="15" hidden="false" customHeight="false" outlineLevel="0" collapsed="false">
      <c r="A27" s="27" t="n">
        <v>23</v>
      </c>
      <c r="B27" s="28"/>
      <c r="C27" s="28"/>
      <c r="D27" s="28"/>
      <c r="E27" s="28"/>
      <c r="F27" s="28"/>
      <c r="G27" s="8" t="str">
        <f aca="false">IF(COUNT(B27:F27)&lt;5,"",B27&amp;"-"&amp;C27&amp;"-"&amp;D27&amp;"-"&amp;E27&amp;"-"&amp;F27)</f>
        <v/>
      </c>
    </row>
    <row r="28" customFormat="false" ht="15" hidden="false" customHeight="false" outlineLevel="0" collapsed="false">
      <c r="A28" s="27" t="n">
        <v>24</v>
      </c>
      <c r="B28" s="28"/>
      <c r="C28" s="28"/>
      <c r="D28" s="28"/>
      <c r="E28" s="28"/>
      <c r="F28" s="28"/>
      <c r="G28" s="8" t="str">
        <f aca="false">IF(COUNT(B28:F28)&lt;5,"",B28&amp;"-"&amp;C28&amp;"-"&amp;D28&amp;"-"&amp;E28&amp;"-"&amp;F28)</f>
        <v/>
      </c>
    </row>
    <row r="29" customFormat="false" ht="15" hidden="false" customHeight="false" outlineLevel="0" collapsed="false">
      <c r="A29" s="27" t="n">
        <v>25</v>
      </c>
      <c r="B29" s="28"/>
      <c r="C29" s="28"/>
      <c r="D29" s="28"/>
      <c r="E29" s="28"/>
      <c r="F29" s="28"/>
      <c r="G29" s="8" t="str">
        <f aca="false">IF(COUNT(B29:F29)&lt;5,"",B29&amp;"-"&amp;C29&amp;"-"&amp;D29&amp;"-"&amp;E29&amp;"-"&amp;F29)</f>
        <v/>
      </c>
    </row>
    <row r="30" customFormat="false" ht="15" hidden="false" customHeight="false" outlineLevel="0" collapsed="false">
      <c r="A30" s="27" t="n">
        <v>26</v>
      </c>
      <c r="B30" s="28"/>
      <c r="C30" s="28"/>
      <c r="D30" s="28"/>
      <c r="E30" s="28"/>
      <c r="F30" s="28"/>
      <c r="G30" s="8" t="str">
        <f aca="false">IF(COUNT(B30:F30)&lt;5,"",B30&amp;"-"&amp;C30&amp;"-"&amp;D30&amp;"-"&amp;E30&amp;"-"&amp;F30)</f>
        <v/>
      </c>
    </row>
    <row r="31" customFormat="false" ht="15" hidden="false" customHeight="false" outlineLevel="0" collapsed="false">
      <c r="A31" s="27" t="n">
        <v>27</v>
      </c>
      <c r="B31" s="28"/>
      <c r="C31" s="28"/>
      <c r="D31" s="28"/>
      <c r="E31" s="28"/>
      <c r="F31" s="28"/>
      <c r="G31" s="8" t="str">
        <f aca="false">IF(COUNT(B31:F31)&lt;5,"",B31&amp;"-"&amp;C31&amp;"-"&amp;D31&amp;"-"&amp;E31&amp;"-"&amp;F31)</f>
        <v/>
      </c>
    </row>
    <row r="32" customFormat="false" ht="15" hidden="false" customHeight="false" outlineLevel="0" collapsed="false">
      <c r="A32" s="27" t="n">
        <v>28</v>
      </c>
      <c r="B32" s="28"/>
      <c r="C32" s="28"/>
      <c r="D32" s="28"/>
      <c r="E32" s="28"/>
      <c r="F32" s="28"/>
      <c r="G32" s="8" t="str">
        <f aca="false">IF(COUNT(B32:F32)&lt;5,"",B32&amp;"-"&amp;C32&amp;"-"&amp;D32&amp;"-"&amp;E32&amp;"-"&amp;F32)</f>
        <v/>
      </c>
    </row>
    <row r="33" customFormat="false" ht="15" hidden="false" customHeight="false" outlineLevel="0" collapsed="false">
      <c r="A33" s="27" t="n">
        <v>29</v>
      </c>
      <c r="B33" s="28"/>
      <c r="C33" s="28"/>
      <c r="D33" s="28"/>
      <c r="E33" s="28"/>
      <c r="F33" s="28"/>
      <c r="G33" s="8" t="str">
        <f aca="false">IF(COUNT(B33:F33)&lt;5,"",B33&amp;"-"&amp;C33&amp;"-"&amp;D33&amp;"-"&amp;E33&amp;"-"&amp;F33)</f>
        <v/>
      </c>
    </row>
    <row r="34" customFormat="false" ht="15" hidden="false" customHeight="false" outlineLevel="0" collapsed="false">
      <c r="A34" s="27" t="n">
        <v>30</v>
      </c>
      <c r="B34" s="28"/>
      <c r="C34" s="28"/>
      <c r="D34" s="28"/>
      <c r="E34" s="28"/>
      <c r="F34" s="28"/>
      <c r="G34" s="8" t="str">
        <f aca="false">IF(COUNT(B34:F34)&lt;5,"",B34&amp;"-"&amp;C34&amp;"-"&amp;D34&amp;"-"&amp;E34&amp;"-"&amp;F34)</f>
        <v/>
      </c>
    </row>
    <row r="35" customFormat="false" ht="15" hidden="false" customHeight="false" outlineLevel="0" collapsed="false">
      <c r="A35" s="27" t="n">
        <v>31</v>
      </c>
      <c r="B35" s="28"/>
      <c r="C35" s="28"/>
      <c r="D35" s="28"/>
      <c r="E35" s="28"/>
      <c r="F35" s="28"/>
      <c r="G35" s="8" t="str">
        <f aca="false">IF(COUNT(B35:F35)&lt;5,"",B35&amp;"-"&amp;C35&amp;"-"&amp;D35&amp;"-"&amp;E35&amp;"-"&amp;F35)</f>
        <v/>
      </c>
    </row>
    <row r="36" customFormat="false" ht="15" hidden="false" customHeight="false" outlineLevel="0" collapsed="false">
      <c r="A36" s="27" t="n">
        <v>32</v>
      </c>
      <c r="B36" s="28"/>
      <c r="C36" s="28"/>
      <c r="D36" s="28"/>
      <c r="E36" s="28"/>
      <c r="F36" s="28"/>
      <c r="G36" s="8" t="str">
        <f aca="false">IF(COUNT(B36:F36)&lt;5,"",B36&amp;"-"&amp;C36&amp;"-"&amp;D36&amp;"-"&amp;E36&amp;"-"&amp;F36)</f>
        <v/>
      </c>
    </row>
    <row r="37" customFormat="false" ht="15" hidden="false" customHeight="false" outlineLevel="0" collapsed="false">
      <c r="A37" s="27" t="n">
        <v>33</v>
      </c>
      <c r="B37" s="28"/>
      <c r="C37" s="28"/>
      <c r="D37" s="28"/>
      <c r="E37" s="28"/>
      <c r="F37" s="28"/>
      <c r="G37" s="8" t="str">
        <f aca="false">IF(COUNT(B37:F37)&lt;5,"",B37&amp;"-"&amp;C37&amp;"-"&amp;D37&amp;"-"&amp;E37&amp;"-"&amp;F37)</f>
        <v/>
      </c>
    </row>
    <row r="38" customFormat="false" ht="15" hidden="false" customHeight="false" outlineLevel="0" collapsed="false">
      <c r="A38" s="27" t="n">
        <v>34</v>
      </c>
      <c r="B38" s="28"/>
      <c r="C38" s="28"/>
      <c r="D38" s="28"/>
      <c r="E38" s="28"/>
      <c r="F38" s="28"/>
      <c r="G38" s="8" t="str">
        <f aca="false">IF(COUNT(B38:F38)&lt;5,"",B38&amp;"-"&amp;C38&amp;"-"&amp;D38&amp;"-"&amp;E38&amp;"-"&amp;F38)</f>
        <v/>
      </c>
    </row>
    <row r="39" customFormat="false" ht="15" hidden="false" customHeight="false" outlineLevel="0" collapsed="false">
      <c r="A39" s="27" t="n">
        <v>35</v>
      </c>
      <c r="B39" s="28"/>
      <c r="C39" s="28"/>
      <c r="D39" s="28"/>
      <c r="E39" s="28"/>
      <c r="F39" s="28"/>
      <c r="G39" s="8" t="str">
        <f aca="false">IF(COUNT(B39:F39)&lt;5,"",B39&amp;"-"&amp;C39&amp;"-"&amp;D39&amp;"-"&amp;E39&amp;"-"&amp;F39)</f>
        <v/>
      </c>
    </row>
    <row r="40" customFormat="false" ht="15" hidden="false" customHeight="false" outlineLevel="0" collapsed="false">
      <c r="A40" s="27" t="n">
        <v>36</v>
      </c>
      <c r="B40" s="28"/>
      <c r="C40" s="28"/>
      <c r="D40" s="28"/>
      <c r="E40" s="28"/>
      <c r="F40" s="28"/>
      <c r="G40" s="8" t="str">
        <f aca="false">IF(COUNT(B40:F40)&lt;5,"",B40&amp;"-"&amp;C40&amp;"-"&amp;D40&amp;"-"&amp;E40&amp;"-"&amp;F40)</f>
        <v/>
      </c>
    </row>
    <row r="41" customFormat="false" ht="15" hidden="false" customHeight="false" outlineLevel="0" collapsed="false">
      <c r="A41" s="27" t="n">
        <v>37</v>
      </c>
      <c r="B41" s="28"/>
      <c r="C41" s="28"/>
      <c r="D41" s="28"/>
      <c r="E41" s="28"/>
      <c r="F41" s="28"/>
      <c r="G41" s="8" t="str">
        <f aca="false">IF(COUNT(B41:F41)&lt;5,"",B41&amp;"-"&amp;C41&amp;"-"&amp;D41&amp;"-"&amp;E41&amp;"-"&amp;F41)</f>
        <v/>
      </c>
    </row>
    <row r="42" customFormat="false" ht="15" hidden="false" customHeight="false" outlineLevel="0" collapsed="false">
      <c r="A42" s="27" t="n">
        <v>38</v>
      </c>
      <c r="B42" s="28"/>
      <c r="C42" s="28"/>
      <c r="D42" s="28"/>
      <c r="E42" s="28"/>
      <c r="F42" s="28"/>
      <c r="G42" s="8" t="str">
        <f aca="false">IF(COUNT(B42:F42)&lt;5,"",B42&amp;"-"&amp;C42&amp;"-"&amp;D42&amp;"-"&amp;E42&amp;"-"&amp;F42)</f>
        <v/>
      </c>
    </row>
    <row r="43" customFormat="false" ht="15" hidden="false" customHeight="false" outlineLevel="0" collapsed="false">
      <c r="A43" s="27" t="n">
        <v>39</v>
      </c>
      <c r="B43" s="28"/>
      <c r="C43" s="28"/>
      <c r="D43" s="28"/>
      <c r="E43" s="28"/>
      <c r="F43" s="28"/>
      <c r="G43" s="8" t="str">
        <f aca="false">IF(COUNT(B43:F43)&lt;5,"",B43&amp;"-"&amp;C43&amp;"-"&amp;D43&amp;"-"&amp;E43&amp;"-"&amp;F43)</f>
        <v/>
      </c>
    </row>
    <row r="44" customFormat="false" ht="15" hidden="false" customHeight="false" outlineLevel="0" collapsed="false">
      <c r="A44" s="27" t="n">
        <v>40</v>
      </c>
      <c r="B44" s="28"/>
      <c r="C44" s="28"/>
      <c r="D44" s="28"/>
      <c r="E44" s="28"/>
      <c r="F44" s="28"/>
      <c r="G44" s="8" t="str">
        <f aca="false">IF(COUNT(B44:F44)&lt;5,"",B44&amp;"-"&amp;C44&amp;"-"&amp;D44&amp;"-"&amp;E44&amp;"-"&amp;F44)</f>
        <v/>
      </c>
    </row>
    <row r="45" customFormat="false" ht="15" hidden="false" customHeight="false" outlineLevel="0" collapsed="false">
      <c r="A45" s="27" t="n">
        <v>41</v>
      </c>
      <c r="B45" s="28"/>
      <c r="C45" s="28"/>
      <c r="D45" s="28"/>
      <c r="E45" s="28"/>
      <c r="F45" s="28"/>
      <c r="G45" s="8" t="str">
        <f aca="false">IF(COUNT(B45:F45)&lt;5,"",B45&amp;"-"&amp;C45&amp;"-"&amp;D45&amp;"-"&amp;E45&amp;"-"&amp;F45)</f>
        <v/>
      </c>
    </row>
    <row r="46" customFormat="false" ht="15" hidden="false" customHeight="false" outlineLevel="0" collapsed="false">
      <c r="A46" s="27" t="n">
        <v>42</v>
      </c>
      <c r="B46" s="28"/>
      <c r="C46" s="28"/>
      <c r="D46" s="28"/>
      <c r="E46" s="28"/>
      <c r="F46" s="28"/>
      <c r="G46" s="8" t="str">
        <f aca="false">IF(COUNT(B46:F46)&lt;5,"",B46&amp;"-"&amp;C46&amp;"-"&amp;D46&amp;"-"&amp;E46&amp;"-"&amp;F46)</f>
        <v/>
      </c>
    </row>
    <row r="47" customFormat="false" ht="15" hidden="false" customHeight="false" outlineLevel="0" collapsed="false">
      <c r="A47" s="27" t="n">
        <v>43</v>
      </c>
      <c r="B47" s="28"/>
      <c r="C47" s="28"/>
      <c r="D47" s="28"/>
      <c r="E47" s="28"/>
      <c r="F47" s="28"/>
      <c r="G47" s="8" t="str">
        <f aca="false">IF(COUNT(B47:F47)&lt;5,"",B47&amp;"-"&amp;C47&amp;"-"&amp;D47&amp;"-"&amp;E47&amp;"-"&amp;F47)</f>
        <v/>
      </c>
    </row>
    <row r="48" customFormat="false" ht="15" hidden="false" customHeight="false" outlineLevel="0" collapsed="false">
      <c r="A48" s="27" t="n">
        <v>44</v>
      </c>
      <c r="B48" s="28"/>
      <c r="C48" s="28"/>
      <c r="D48" s="28"/>
      <c r="E48" s="28"/>
      <c r="F48" s="28"/>
      <c r="G48" s="8" t="str">
        <f aca="false">IF(COUNT(B48:F48)&lt;5,"",B48&amp;"-"&amp;C48&amp;"-"&amp;D48&amp;"-"&amp;E48&amp;"-"&amp;F48)</f>
        <v/>
      </c>
    </row>
    <row r="49" customFormat="false" ht="15" hidden="false" customHeight="false" outlineLevel="0" collapsed="false">
      <c r="A49" s="27" t="n">
        <v>45</v>
      </c>
      <c r="B49" s="28"/>
      <c r="C49" s="28"/>
      <c r="D49" s="28"/>
      <c r="E49" s="28"/>
      <c r="F49" s="28"/>
      <c r="G49" s="8" t="str">
        <f aca="false">IF(COUNT(B49:F49)&lt;5,"",B49&amp;"-"&amp;C49&amp;"-"&amp;D49&amp;"-"&amp;E49&amp;"-"&amp;F49)</f>
        <v/>
      </c>
    </row>
    <row r="50" customFormat="false" ht="15" hidden="false" customHeight="false" outlineLevel="0" collapsed="false">
      <c r="A50" s="27" t="n">
        <v>46</v>
      </c>
      <c r="B50" s="28"/>
      <c r="C50" s="28"/>
      <c r="D50" s="28"/>
      <c r="E50" s="28"/>
      <c r="F50" s="28"/>
      <c r="G50" s="8" t="str">
        <f aca="false">IF(COUNT(B50:F50)&lt;5,"",B50&amp;"-"&amp;C50&amp;"-"&amp;D50&amp;"-"&amp;E50&amp;"-"&amp;F50)</f>
        <v/>
      </c>
    </row>
    <row r="51" customFormat="false" ht="15" hidden="false" customHeight="false" outlineLevel="0" collapsed="false">
      <c r="A51" s="27" t="n">
        <v>47</v>
      </c>
      <c r="B51" s="28"/>
      <c r="C51" s="28"/>
      <c r="D51" s="28"/>
      <c r="E51" s="28"/>
      <c r="F51" s="28"/>
      <c r="G51" s="8" t="str">
        <f aca="false">IF(COUNT(B51:F51)&lt;5,"",B51&amp;"-"&amp;C51&amp;"-"&amp;D51&amp;"-"&amp;E51&amp;"-"&amp;F51)</f>
        <v/>
      </c>
    </row>
    <row r="52" customFormat="false" ht="15" hidden="false" customHeight="false" outlineLevel="0" collapsed="false">
      <c r="A52" s="27" t="n">
        <v>48</v>
      </c>
      <c r="B52" s="28"/>
      <c r="C52" s="28"/>
      <c r="D52" s="28"/>
      <c r="E52" s="28"/>
      <c r="F52" s="28"/>
      <c r="G52" s="8" t="str">
        <f aca="false">IF(COUNT(B52:F52)&lt;5,"",B52&amp;"-"&amp;C52&amp;"-"&amp;D52&amp;"-"&amp;E52&amp;"-"&amp;F52)</f>
        <v/>
      </c>
    </row>
    <row r="53" customFormat="false" ht="15" hidden="false" customHeight="false" outlineLevel="0" collapsed="false">
      <c r="A53" s="27" t="n">
        <v>49</v>
      </c>
      <c r="B53" s="28"/>
      <c r="C53" s="28"/>
      <c r="D53" s="28"/>
      <c r="E53" s="28"/>
      <c r="F53" s="28"/>
      <c r="G53" s="8" t="str">
        <f aca="false">IF(COUNT(B53:F53)&lt;5,"",B53&amp;"-"&amp;C53&amp;"-"&amp;D53&amp;"-"&amp;E53&amp;"-"&amp;F53)</f>
        <v/>
      </c>
    </row>
    <row r="54" customFormat="false" ht="15" hidden="false" customHeight="false" outlineLevel="0" collapsed="false">
      <c r="A54" s="27" t="n">
        <v>50</v>
      </c>
      <c r="B54" s="28"/>
      <c r="C54" s="28"/>
      <c r="D54" s="28"/>
      <c r="E54" s="28"/>
      <c r="F54" s="28"/>
      <c r="G54" s="8" t="str">
        <f aca="false">IF(COUNT(B54:F54)&lt;5,"",B54&amp;"-"&amp;C54&amp;"-"&amp;D54&amp;"-"&amp;E54&amp;"-"&amp;F54)</f>
        <v/>
      </c>
    </row>
  </sheetData>
  <dataValidations count="1">
    <dataValidation allowBlank="true" errorStyle="stop" operator="between" showDropDown="false" showErrorMessage="false" showInputMessage="false" sqref="B5:F54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7" min="3" style="0" width="9"/>
    <col collapsed="false" customWidth="true" hidden="false" outlineLevel="0" max="8" min="8" style="0" width="3"/>
    <col collapsed="false" customWidth="true" hidden="false" outlineLevel="0" max="13" min="9" style="0" width="10"/>
  </cols>
  <sheetData>
    <row r="1" customFormat="false" ht="17.35" hidden="false" customHeight="false" outlineLevel="0" collapsed="false">
      <c r="A1" s="1" t="s">
        <v>143</v>
      </c>
    </row>
    <row r="2" customFormat="false" ht="15" hidden="false" customHeight="false" outlineLevel="0" collapsed="false">
      <c r="A2" s="4" t="s">
        <v>144</v>
      </c>
    </row>
    <row r="3" customFormat="false" ht="15" hidden="false" customHeight="false" outlineLevel="0" collapsed="false">
      <c r="A3" s="11" t="s">
        <v>145</v>
      </c>
    </row>
    <row r="4" customFormat="false" ht="15" hidden="false" customHeight="false" outlineLevel="0" collapsed="false">
      <c r="A4" s="5" t="s">
        <v>105</v>
      </c>
      <c r="B4" s="5" t="s">
        <v>106</v>
      </c>
      <c r="C4" s="5" t="s">
        <v>137</v>
      </c>
      <c r="D4" s="5" t="s">
        <v>138</v>
      </c>
      <c r="E4" s="5" t="s">
        <v>139</v>
      </c>
      <c r="F4" s="5" t="s">
        <v>140</v>
      </c>
      <c r="G4" s="5" t="s">
        <v>141</v>
      </c>
      <c r="I4" s="5" t="s">
        <v>146</v>
      </c>
      <c r="J4" s="5" t="s">
        <v>147</v>
      </c>
      <c r="K4" s="5" t="s">
        <v>148</v>
      </c>
      <c r="L4" s="5" t="s">
        <v>149</v>
      </c>
      <c r="M4" s="5" t="s">
        <v>150</v>
      </c>
    </row>
    <row r="5" customFormat="false" ht="15" hidden="false" customHeight="false" outlineLevel="0" collapsed="false">
      <c r="A5" s="29" t="str">
        <f aca="false">Paytable!A4</f>
        <v>H1</v>
      </c>
      <c r="B5" s="29" t="str">
        <f aca="false">Paytable!B4</f>
        <v>Singe</v>
      </c>
      <c r="C5" s="21" t="n">
        <v>300</v>
      </c>
      <c r="D5" s="21" t="n">
        <v>320</v>
      </c>
      <c r="E5" s="21" t="n">
        <v>340</v>
      </c>
      <c r="F5" s="21" t="n">
        <v>360</v>
      </c>
      <c r="G5" s="21" t="n">
        <v>380</v>
      </c>
      <c r="I5" s="30" t="n">
        <f aca="false">IF(C$14=0,0,C5/C$14)</f>
        <v>0.0513610683102209</v>
      </c>
      <c r="J5" s="30" t="n">
        <f aca="false">IF(D$14=0,0,D5/D$14)</f>
        <v>0.054505195026401</v>
      </c>
      <c r="K5" s="30" t="n">
        <f aca="false">IF(E$14=0,0,E5/E$14)</f>
        <v>0.0573259146855505</v>
      </c>
      <c r="L5" s="30" t="n">
        <f aca="false">IF(F$14=0,0,F5/F$14)</f>
        <v>0.059890201297621</v>
      </c>
      <c r="M5" s="30" t="n">
        <f aca="false">IF(G$14=0,0,G5/G$14)</f>
        <v>0.0623871285503201</v>
      </c>
    </row>
    <row r="6" customFormat="false" ht="15" hidden="false" customHeight="false" outlineLevel="0" collapsed="false">
      <c r="A6" s="29" t="str">
        <f aca="false">Paytable!A5</f>
        <v>H2</v>
      </c>
      <c r="B6" s="29" t="str">
        <f aca="false">Paytable!B5</f>
        <v>Sac à dos</v>
      </c>
      <c r="C6" s="21" t="n">
        <v>450</v>
      </c>
      <c r="D6" s="21" t="n">
        <v>460</v>
      </c>
      <c r="E6" s="21" t="n">
        <v>480</v>
      </c>
      <c r="F6" s="21" t="n">
        <v>500</v>
      </c>
      <c r="G6" s="21" t="n">
        <v>520</v>
      </c>
      <c r="I6" s="30" t="n">
        <f aca="false">IF(C$14=0,0,C6/C$14)</f>
        <v>0.0770416024653313</v>
      </c>
      <c r="J6" s="30" t="n">
        <f aca="false">IF(D$14=0,0,D6/D$14)</f>
        <v>0.0783512178504514</v>
      </c>
      <c r="K6" s="30" t="n">
        <f aca="false">IF(E$14=0,0,E6/E$14)</f>
        <v>0.0809307030854831</v>
      </c>
      <c r="L6" s="30" t="n">
        <f aca="false">IF(F$14=0,0,F6/F$14)</f>
        <v>0.0831808351355848</v>
      </c>
      <c r="M6" s="30" t="n">
        <f aca="false">IF(G$14=0,0,G6/G$14)</f>
        <v>0.0853718601214907</v>
      </c>
    </row>
    <row r="7" customFormat="false" ht="15" hidden="false" customHeight="false" outlineLevel="0" collapsed="false">
      <c r="A7" s="29" t="str">
        <f aca="false">Paytable!A6</f>
        <v>H3</v>
      </c>
      <c r="B7" s="29" t="str">
        <f aca="false">Paytable!B6</f>
        <v>Basket</v>
      </c>
      <c r="C7" s="21" t="n">
        <v>600</v>
      </c>
      <c r="D7" s="21" t="n">
        <v>600</v>
      </c>
      <c r="E7" s="21" t="n">
        <v>620</v>
      </c>
      <c r="F7" s="21" t="n">
        <v>640</v>
      </c>
      <c r="G7" s="21" t="n">
        <v>660</v>
      </c>
      <c r="I7" s="30" t="n">
        <f aca="false">IF(C$14=0,0,C7/C$14)</f>
        <v>0.102722136620442</v>
      </c>
      <c r="J7" s="30" t="n">
        <f aca="false">IF(D$14=0,0,D7/D$14)</f>
        <v>0.102197240674502</v>
      </c>
      <c r="K7" s="30" t="n">
        <f aca="false">IF(E$14=0,0,E7/E$14)</f>
        <v>0.104535491485416</v>
      </c>
      <c r="L7" s="30" t="n">
        <f aca="false">IF(F$14=0,0,F7/F$14)</f>
        <v>0.106471468973548</v>
      </c>
      <c r="M7" s="30" t="n">
        <f aca="false">IF(G$14=0,0,G7/G$14)</f>
        <v>0.108356591692661</v>
      </c>
    </row>
    <row r="8" customFormat="false" ht="15" hidden="false" customHeight="false" outlineLevel="0" collapsed="false">
      <c r="A8" s="29" t="str">
        <f aca="false">Paytable!A7</f>
        <v>M1</v>
      </c>
      <c r="B8" s="29" t="str">
        <f aca="false">Paytable!B7</f>
        <v>Gourde</v>
      </c>
      <c r="C8" s="21" t="n">
        <v>800</v>
      </c>
      <c r="D8" s="21" t="n">
        <v>800</v>
      </c>
      <c r="E8" s="21" t="n">
        <v>800</v>
      </c>
      <c r="F8" s="21" t="n">
        <v>820</v>
      </c>
      <c r="G8" s="21" t="n">
        <v>840</v>
      </c>
      <c r="I8" s="30" t="n">
        <f aca="false">IF(C$14=0,0,C8/C$14)</f>
        <v>0.136962848827256</v>
      </c>
      <c r="J8" s="30" t="n">
        <f aca="false">IF(D$14=0,0,D8/D$14)</f>
        <v>0.136262987566002</v>
      </c>
      <c r="K8" s="30" t="n">
        <f aca="false">IF(E$14=0,0,E8/E$14)</f>
        <v>0.134884505142472</v>
      </c>
      <c r="L8" s="30" t="n">
        <f aca="false">IF(F$14=0,0,F8/F$14)</f>
        <v>0.136416569622359</v>
      </c>
      <c r="M8" s="30" t="n">
        <f aca="false">IF(G$14=0,0,G8/G$14)</f>
        <v>0.137908389427023</v>
      </c>
    </row>
    <row r="9" customFormat="false" ht="15" hidden="false" customHeight="false" outlineLevel="0" collapsed="false">
      <c r="A9" s="29" t="str">
        <f aca="false">Paytable!A8</f>
        <v>L1</v>
      </c>
      <c r="B9" s="29" t="str">
        <f aca="false">Paytable!B8</f>
        <v>Pomme</v>
      </c>
      <c r="C9" s="21" t="n">
        <v>1100</v>
      </c>
      <c r="D9" s="21" t="n">
        <v>1100</v>
      </c>
      <c r="E9" s="21" t="n">
        <v>1100</v>
      </c>
      <c r="F9" s="21" t="n">
        <v>1100</v>
      </c>
      <c r="G9" s="21" t="n">
        <v>1100</v>
      </c>
      <c r="I9" s="30" t="n">
        <f aca="false">IF(C$14=0,0,C9/C$14)</f>
        <v>0.188323917137476</v>
      </c>
      <c r="J9" s="30" t="n">
        <f aca="false">IF(D$14=0,0,D9/D$14)</f>
        <v>0.187361607903253</v>
      </c>
      <c r="K9" s="30" t="n">
        <f aca="false">IF(E$14=0,0,E9/E$14)</f>
        <v>0.185466194570899</v>
      </c>
      <c r="L9" s="30" t="n">
        <f aca="false">IF(F$14=0,0,F9/F$14)</f>
        <v>0.182997837298286</v>
      </c>
      <c r="M9" s="30" t="n">
        <f aca="false">IF(G$14=0,0,G9/G$14)</f>
        <v>0.180594319487769</v>
      </c>
    </row>
    <row r="10" customFormat="false" ht="15" hidden="false" customHeight="false" outlineLevel="0" collapsed="false">
      <c r="A10" s="29" t="str">
        <f aca="false">Paytable!A9</f>
        <v>L2</v>
      </c>
      <c r="B10" s="29" t="str">
        <f aca="false">Paytable!B9</f>
        <v>Sifflet</v>
      </c>
      <c r="C10" s="21" t="n">
        <v>1200</v>
      </c>
      <c r="D10" s="21" t="n">
        <v>1200</v>
      </c>
      <c r="E10" s="21" t="n">
        <v>1200</v>
      </c>
      <c r="F10" s="21" t="n">
        <v>1200</v>
      </c>
      <c r="G10" s="21" t="n">
        <v>1200</v>
      </c>
      <c r="I10" s="30" t="n">
        <f aca="false">IF(C$14=0,0,C10/C$14)</f>
        <v>0.205444273240883</v>
      </c>
      <c r="J10" s="30" t="n">
        <f aca="false">IF(D$14=0,0,D10/D$14)</f>
        <v>0.204394481349004</v>
      </c>
      <c r="K10" s="30" t="n">
        <f aca="false">IF(E$14=0,0,E10/E$14)</f>
        <v>0.202326757713708</v>
      </c>
      <c r="L10" s="30" t="n">
        <f aca="false">IF(F$14=0,0,F10/F$14)</f>
        <v>0.199634004325403</v>
      </c>
      <c r="M10" s="30" t="n">
        <f aca="false">IF(G$14=0,0,G10/G$14)</f>
        <v>0.197011984895748</v>
      </c>
    </row>
    <row r="11" customFormat="false" ht="15" hidden="false" customHeight="false" outlineLevel="0" collapsed="false">
      <c r="A11" s="29" t="str">
        <f aca="false">Paytable!A10</f>
        <v>L3</v>
      </c>
      <c r="B11" s="29" t="str">
        <f aca="false">Paytable!B10</f>
        <v>Gomme</v>
      </c>
      <c r="C11" s="21" t="n">
        <v>1300</v>
      </c>
      <c r="D11" s="21" t="n">
        <v>1300</v>
      </c>
      <c r="E11" s="21" t="n">
        <v>1300</v>
      </c>
      <c r="F11" s="21" t="n">
        <v>1300</v>
      </c>
      <c r="G11" s="21" t="n">
        <v>1300</v>
      </c>
      <c r="I11" s="30" t="n">
        <f aca="false">IF(C$14=0,0,C11/C$14)</f>
        <v>0.22256462934429</v>
      </c>
      <c r="J11" s="30" t="n">
        <f aca="false">IF(D$14=0,0,D11/D$14)</f>
        <v>0.221427354794754</v>
      </c>
      <c r="K11" s="30" t="n">
        <f aca="false">IF(E$14=0,0,E11/E$14)</f>
        <v>0.219187320856517</v>
      </c>
      <c r="L11" s="30" t="n">
        <f aca="false">IF(F$14=0,0,F11/F$14)</f>
        <v>0.21627017135252</v>
      </c>
      <c r="M11" s="30" t="n">
        <f aca="false">IF(G$14=0,0,G11/G$14)</f>
        <v>0.213429650303727</v>
      </c>
    </row>
    <row r="12" customFormat="false" ht="15" hidden="false" customHeight="false" outlineLevel="0" collapsed="false">
      <c r="A12" s="29" t="str">
        <f aca="false">Paytable!A11</f>
        <v>BN</v>
      </c>
      <c r="B12" s="29" t="str">
        <f aca="false">Paytable!B11</f>
        <v>Trophée (bonus)</v>
      </c>
      <c r="C12" s="21" t="n">
        <v>90</v>
      </c>
      <c r="D12" s="21" t="n">
        <v>90</v>
      </c>
      <c r="E12" s="21" t="n">
        <v>90</v>
      </c>
      <c r="F12" s="21" t="n">
        <v>90</v>
      </c>
      <c r="G12" s="21" t="n">
        <v>90</v>
      </c>
      <c r="I12" s="30" t="n">
        <f aca="false">IF(C$14=0,0,C12/C$14)</f>
        <v>0.0154083204930663</v>
      </c>
      <c r="J12" s="30" t="n">
        <f aca="false">IF(D$14=0,0,D12/D$14)</f>
        <v>0.0153295861011753</v>
      </c>
      <c r="K12" s="30" t="n">
        <f aca="false">IF(E$14=0,0,E12/E$14)</f>
        <v>0.0151745068285281</v>
      </c>
      <c r="L12" s="30" t="n">
        <f aca="false">IF(F$14=0,0,F12/F$14)</f>
        <v>0.0149725503244053</v>
      </c>
      <c r="M12" s="30" t="n">
        <f aca="false">IF(G$14=0,0,G12/G$14)</f>
        <v>0.0147758988671811</v>
      </c>
    </row>
    <row r="13" customFormat="false" ht="15" hidden="false" customHeight="false" outlineLevel="0" collapsed="false">
      <c r="A13" s="29" t="str">
        <f aca="false">Paytable!A12</f>
        <v>GL</v>
      </c>
      <c r="B13" s="29" t="str">
        <f aca="false">Paytable!B12</f>
        <v>Globe</v>
      </c>
      <c r="C13" s="21" t="n">
        <v>1</v>
      </c>
      <c r="D13" s="21" t="n">
        <v>1</v>
      </c>
      <c r="E13" s="21" t="n">
        <v>1</v>
      </c>
      <c r="F13" s="21" t="n">
        <v>1</v>
      </c>
      <c r="G13" s="21" t="n">
        <v>1</v>
      </c>
      <c r="I13" s="30" t="n">
        <f aca="false">IF(C$14=0,0,C13/C$14)</f>
        <v>0.00017120356103407</v>
      </c>
      <c r="J13" s="30" t="n">
        <f aca="false">IF(D$14=0,0,D13/D$14)</f>
        <v>0.000170328734457503</v>
      </c>
      <c r="K13" s="30" t="n">
        <f aca="false">IF(E$14=0,0,E13/E$14)</f>
        <v>0.00016860563142809</v>
      </c>
      <c r="L13" s="30" t="n">
        <f aca="false">IF(F$14=0,0,F13/F$14)</f>
        <v>0.00016636167027117</v>
      </c>
      <c r="M13" s="30" t="n">
        <f aca="false">IF(G$14=0,0,G13/G$14)</f>
        <v>0.00016417665407979</v>
      </c>
    </row>
    <row r="14" customFormat="false" ht="15" hidden="false" customHeight="false" outlineLevel="0" collapsed="false">
      <c r="B14" s="31" t="s">
        <v>151</v>
      </c>
      <c r="C14" s="32" t="n">
        <f aca="false">SUM(C5:C13)</f>
        <v>5841</v>
      </c>
      <c r="D14" s="32" t="n">
        <f aca="false">SUM(D5:D13)</f>
        <v>5871</v>
      </c>
      <c r="E14" s="32" t="n">
        <f aca="false">SUM(E5:E13)</f>
        <v>5931</v>
      </c>
      <c r="F14" s="32" t="n">
        <f aca="false">SUM(F5:F13)</f>
        <v>6011</v>
      </c>
      <c r="G14" s="32" t="n">
        <f aca="false">SUM(G5:G13)</f>
        <v>6091</v>
      </c>
      <c r="I14" s="33" t="n">
        <f aca="false">SUM(I5:I13)</f>
        <v>1</v>
      </c>
      <c r="J14" s="33" t="n">
        <f aca="false">SUM(J5:J13)</f>
        <v>1</v>
      </c>
      <c r="K14" s="33" t="n">
        <f aca="false">SUM(K5:K13)</f>
        <v>1</v>
      </c>
      <c r="L14" s="33" t="n">
        <f aca="false">SUM(L5:L13)</f>
        <v>1</v>
      </c>
      <c r="M14" s="33" t="n">
        <f aca="false">SUM(M5:M13)</f>
        <v>1</v>
      </c>
    </row>
    <row r="17" customFormat="false" ht="15" hidden="false" customHeight="false" outlineLevel="0" collapsed="false">
      <c r="A17" s="11" t="s">
        <v>152</v>
      </c>
    </row>
    <row r="18" customFormat="false" ht="15" hidden="false" customHeight="false" outlineLevel="0" collapsed="false">
      <c r="A18" s="5" t="s">
        <v>105</v>
      </c>
      <c r="B18" s="5" t="s">
        <v>106</v>
      </c>
      <c r="C18" s="5" t="s">
        <v>137</v>
      </c>
      <c r="D18" s="5" t="s">
        <v>138</v>
      </c>
      <c r="E18" s="5" t="s">
        <v>139</v>
      </c>
      <c r="F18" s="5" t="s">
        <v>140</v>
      </c>
      <c r="G18" s="5" t="s">
        <v>141</v>
      </c>
      <c r="I18" s="5" t="s">
        <v>146</v>
      </c>
      <c r="J18" s="5" t="s">
        <v>147</v>
      </c>
      <c r="K18" s="5" t="s">
        <v>148</v>
      </c>
      <c r="L18" s="5" t="s">
        <v>149</v>
      </c>
      <c r="M18" s="5" t="s">
        <v>150</v>
      </c>
    </row>
    <row r="19" customFormat="false" ht="15" hidden="false" customHeight="false" outlineLevel="0" collapsed="false">
      <c r="A19" s="29" t="str">
        <f aca="false">Paytable!A4</f>
        <v>H1</v>
      </c>
      <c r="B19" s="29" t="str">
        <f aca="false">Paytable!B4</f>
        <v>Singe</v>
      </c>
      <c r="C19" s="21" t="n">
        <v>340</v>
      </c>
      <c r="D19" s="21" t="n">
        <v>360</v>
      </c>
      <c r="E19" s="21" t="n">
        <v>380</v>
      </c>
      <c r="F19" s="21" t="n">
        <v>400</v>
      </c>
      <c r="G19" s="21" t="n">
        <v>420</v>
      </c>
      <c r="I19" s="30" t="n">
        <f aca="false">IF(C$28=0,0,C19/C$28)</f>
        <v>0.0582491005653589</v>
      </c>
      <c r="J19" s="30" t="n">
        <f aca="false">IF(D$28=0,0,D19/D$28)</f>
        <v>0.0610479905036459</v>
      </c>
      <c r="K19" s="30" t="n">
        <f aca="false">IF(E$28=0,0,E19/E$28)</f>
        <v>0.0635770453404718</v>
      </c>
      <c r="L19" s="30" t="n">
        <f aca="false">IF(F$28=0,0,F19/F$28)</f>
        <v>0.0660392933795608</v>
      </c>
      <c r="M19" s="30" t="n">
        <f aca="false">IF(G$28=0,0,G19/G$28)</f>
        <v>0.0684373472380642</v>
      </c>
    </row>
    <row r="20" customFormat="false" ht="15" hidden="false" customHeight="false" outlineLevel="0" collapsed="false">
      <c r="A20" s="29" t="str">
        <f aca="false">Paytable!A5</f>
        <v>H2</v>
      </c>
      <c r="B20" s="29" t="str">
        <f aca="false">Paytable!B5</f>
        <v>Sac à dos</v>
      </c>
      <c r="C20" s="21" t="n">
        <v>480</v>
      </c>
      <c r="D20" s="21" t="n">
        <v>500</v>
      </c>
      <c r="E20" s="21" t="n">
        <v>520</v>
      </c>
      <c r="F20" s="21" t="n">
        <v>540</v>
      </c>
      <c r="G20" s="21" t="n">
        <v>560</v>
      </c>
      <c r="I20" s="30" t="n">
        <f aca="false">IF(C$28=0,0,C20/C$28)</f>
        <v>0.0822340243275655</v>
      </c>
      <c r="J20" s="30" t="n">
        <f aca="false">IF(D$28=0,0,D20/D$28)</f>
        <v>0.0847888756995082</v>
      </c>
      <c r="K20" s="30" t="n">
        <f aca="false">IF(E$28=0,0,E20/E$28)</f>
        <v>0.0870001673080141</v>
      </c>
      <c r="L20" s="30" t="n">
        <f aca="false">IF(F$28=0,0,F20/F$28)</f>
        <v>0.0891530460624071</v>
      </c>
      <c r="M20" s="30" t="n">
        <f aca="false">IF(G$28=0,0,G20/G$28)</f>
        <v>0.0912497963174189</v>
      </c>
    </row>
    <row r="21" customFormat="false" ht="15" hidden="false" customHeight="false" outlineLevel="0" collapsed="false">
      <c r="A21" s="29" t="str">
        <f aca="false">Paytable!A6</f>
        <v>H3</v>
      </c>
      <c r="B21" s="29" t="str">
        <f aca="false">Paytable!B6</f>
        <v>Basket</v>
      </c>
      <c r="C21" s="21" t="n">
        <v>620</v>
      </c>
      <c r="D21" s="21" t="n">
        <v>640</v>
      </c>
      <c r="E21" s="21" t="n">
        <v>660</v>
      </c>
      <c r="F21" s="21" t="n">
        <v>680</v>
      </c>
      <c r="G21" s="21" t="n">
        <v>700</v>
      </c>
      <c r="I21" s="30" t="n">
        <f aca="false">IF(C$28=0,0,C21/C$28)</f>
        <v>0.106218948089772</v>
      </c>
      <c r="J21" s="30" t="n">
        <f aca="false">IF(D$28=0,0,D21/D$28)</f>
        <v>0.108529760895371</v>
      </c>
      <c r="K21" s="30" t="n">
        <f aca="false">IF(E$28=0,0,E21/E$28)</f>
        <v>0.110423289275556</v>
      </c>
      <c r="L21" s="30" t="n">
        <f aca="false">IF(F$28=0,0,F21/F$28)</f>
        <v>0.112266798745253</v>
      </c>
      <c r="M21" s="30" t="n">
        <f aca="false">IF(G$28=0,0,G21/G$28)</f>
        <v>0.114062245396774</v>
      </c>
    </row>
    <row r="22" customFormat="false" ht="15" hidden="false" customHeight="false" outlineLevel="0" collapsed="false">
      <c r="A22" s="29" t="str">
        <f aca="false">Paytable!A7</f>
        <v>M1</v>
      </c>
      <c r="B22" s="29" t="str">
        <f aca="false">Paytable!B7</f>
        <v>Gourde</v>
      </c>
      <c r="C22" s="21" t="n">
        <v>800</v>
      </c>
      <c r="D22" s="21" t="n">
        <v>800</v>
      </c>
      <c r="E22" s="21" t="n">
        <v>820</v>
      </c>
      <c r="F22" s="21" t="n">
        <v>840</v>
      </c>
      <c r="G22" s="21" t="n">
        <v>860</v>
      </c>
      <c r="I22" s="30" t="n">
        <f aca="false">IF(C$28=0,0,C22/C$28)</f>
        <v>0.137056707212609</v>
      </c>
      <c r="J22" s="30" t="n">
        <f aca="false">IF(D$28=0,0,D22/D$28)</f>
        <v>0.135662201119213</v>
      </c>
      <c r="K22" s="30" t="n">
        <f aca="false">IF(E$28=0,0,E22/E$28)</f>
        <v>0.137192571524176</v>
      </c>
      <c r="L22" s="30" t="n">
        <f aca="false">IF(F$28=0,0,F22/F$28)</f>
        <v>0.138682516097078</v>
      </c>
      <c r="M22" s="30" t="n">
        <f aca="false">IF(G$28=0,0,G22/G$28)</f>
        <v>0.140133615773179</v>
      </c>
    </row>
    <row r="23" customFormat="false" ht="15" hidden="false" customHeight="false" outlineLevel="0" collapsed="false">
      <c r="A23" s="29" t="str">
        <f aca="false">Paytable!A8</f>
        <v>L1</v>
      </c>
      <c r="B23" s="29" t="str">
        <f aca="false">Paytable!B8</f>
        <v>Pomme</v>
      </c>
      <c r="C23" s="21" t="n">
        <v>1050</v>
      </c>
      <c r="D23" s="21" t="n">
        <v>1050</v>
      </c>
      <c r="E23" s="21" t="n">
        <v>1050</v>
      </c>
      <c r="F23" s="21" t="n">
        <v>1050</v>
      </c>
      <c r="G23" s="21" t="n">
        <v>1050</v>
      </c>
      <c r="I23" s="30" t="n">
        <f aca="false">IF(C$28=0,0,C23/C$28)</f>
        <v>0.17988692821655</v>
      </c>
      <c r="J23" s="30" t="n">
        <f aca="false">IF(D$28=0,0,D23/D$28)</f>
        <v>0.178056638968967</v>
      </c>
      <c r="K23" s="30" t="n">
        <f aca="false">IF(E$28=0,0,E23/E$28)</f>
        <v>0.175673414756567</v>
      </c>
      <c r="L23" s="30" t="n">
        <f aca="false">IF(F$28=0,0,F23/F$28)</f>
        <v>0.173353145121347</v>
      </c>
      <c r="M23" s="30" t="n">
        <f aca="false">IF(G$28=0,0,G23/G$28)</f>
        <v>0.171093368095161</v>
      </c>
    </row>
    <row r="24" customFormat="false" ht="15" hidden="false" customHeight="false" outlineLevel="0" collapsed="false">
      <c r="A24" s="29" t="str">
        <f aca="false">Paytable!A9</f>
        <v>L2</v>
      </c>
      <c r="B24" s="29" t="str">
        <f aca="false">Paytable!B9</f>
        <v>Sifflet</v>
      </c>
      <c r="C24" s="21" t="n">
        <v>1150</v>
      </c>
      <c r="D24" s="21" t="n">
        <v>1150</v>
      </c>
      <c r="E24" s="21" t="n">
        <v>1150</v>
      </c>
      <c r="F24" s="21" t="n">
        <v>1150</v>
      </c>
      <c r="G24" s="21" t="n">
        <v>1150</v>
      </c>
      <c r="I24" s="30" t="n">
        <f aca="false">IF(C$28=0,0,C24/C$28)</f>
        <v>0.197019016618126</v>
      </c>
      <c r="J24" s="30" t="n">
        <f aca="false">IF(D$28=0,0,D24/D$28)</f>
        <v>0.195014414108869</v>
      </c>
      <c r="K24" s="30" t="n">
        <f aca="false">IF(E$28=0,0,E24/E$28)</f>
        <v>0.192404216161954</v>
      </c>
      <c r="L24" s="30" t="n">
        <f aca="false">IF(F$28=0,0,F24/F$28)</f>
        <v>0.189862968466237</v>
      </c>
      <c r="M24" s="30" t="n">
        <f aca="false">IF(G$28=0,0,G24/G$28)</f>
        <v>0.187387974580414</v>
      </c>
    </row>
    <row r="25" customFormat="false" ht="15" hidden="false" customHeight="false" outlineLevel="0" collapsed="false">
      <c r="A25" s="29" t="str">
        <f aca="false">Paytable!A10</f>
        <v>L3</v>
      </c>
      <c r="B25" s="29" t="str">
        <f aca="false">Paytable!B10</f>
        <v>Gomme</v>
      </c>
      <c r="C25" s="21" t="n">
        <v>1250</v>
      </c>
      <c r="D25" s="21" t="n">
        <v>1250</v>
      </c>
      <c r="E25" s="21" t="n">
        <v>1250</v>
      </c>
      <c r="F25" s="21" t="n">
        <v>1250</v>
      </c>
      <c r="G25" s="21" t="n">
        <v>1250</v>
      </c>
      <c r="I25" s="30" t="n">
        <f aca="false">IF(C$28=0,0,C25/C$28)</f>
        <v>0.214151105019702</v>
      </c>
      <c r="J25" s="30" t="n">
        <f aca="false">IF(D$28=0,0,D25/D$28)</f>
        <v>0.211972189248771</v>
      </c>
      <c r="K25" s="30" t="n">
        <f aca="false">IF(E$28=0,0,E25/E$28)</f>
        <v>0.209135017567341</v>
      </c>
      <c r="L25" s="30" t="n">
        <f aca="false">IF(F$28=0,0,F25/F$28)</f>
        <v>0.206372791811128</v>
      </c>
      <c r="M25" s="30" t="n">
        <f aca="false">IF(G$28=0,0,G25/G$28)</f>
        <v>0.203682581065667</v>
      </c>
    </row>
    <row r="26" customFormat="false" ht="15" hidden="false" customHeight="false" outlineLevel="0" collapsed="false">
      <c r="A26" s="29" t="str">
        <f aca="false">Paytable!A11</f>
        <v>BN</v>
      </c>
      <c r="B26" s="29" t="str">
        <f aca="false">Paytable!B11</f>
        <v>Trophée (bonus)</v>
      </c>
      <c r="C26" s="21" t="n">
        <v>140</v>
      </c>
      <c r="D26" s="21" t="n">
        <v>140</v>
      </c>
      <c r="E26" s="21" t="n">
        <v>140</v>
      </c>
      <c r="F26" s="21" t="n">
        <v>140</v>
      </c>
      <c r="G26" s="21" t="n">
        <v>140</v>
      </c>
      <c r="I26" s="30" t="n">
        <f aca="false">IF(C$28=0,0,C26/C$28)</f>
        <v>0.0239849237622066</v>
      </c>
      <c r="J26" s="30" t="n">
        <f aca="false">IF(D$28=0,0,D26/D$28)</f>
        <v>0.0237408851958623</v>
      </c>
      <c r="K26" s="30" t="n">
        <f aca="false">IF(E$28=0,0,E26/E$28)</f>
        <v>0.0234231219675422</v>
      </c>
      <c r="L26" s="30" t="n">
        <f aca="false">IF(F$28=0,0,F26/F$28)</f>
        <v>0.0231137526828463</v>
      </c>
      <c r="M26" s="30" t="n">
        <f aca="false">IF(G$28=0,0,G26/G$28)</f>
        <v>0.0228124490793547</v>
      </c>
    </row>
    <row r="27" customFormat="false" ht="15" hidden="false" customHeight="false" outlineLevel="0" collapsed="false">
      <c r="A27" s="29" t="str">
        <f aca="false">Paytable!A12</f>
        <v>GL</v>
      </c>
      <c r="B27" s="29" t="str">
        <f aca="false">Paytable!B12</f>
        <v>Globe</v>
      </c>
      <c r="C27" s="21" t="n">
        <v>7</v>
      </c>
      <c r="D27" s="21" t="n">
        <v>7</v>
      </c>
      <c r="E27" s="21" t="n">
        <v>7</v>
      </c>
      <c r="F27" s="21" t="n">
        <v>7</v>
      </c>
      <c r="G27" s="21" t="n">
        <v>7</v>
      </c>
      <c r="I27" s="30" t="n">
        <f aca="false">IF(C$28=0,0,C27/C$28)</f>
        <v>0.00119924618811033</v>
      </c>
      <c r="J27" s="30" t="n">
        <f aca="false">IF(D$28=0,0,D27/D$28)</f>
        <v>0.00118704425979312</v>
      </c>
      <c r="K27" s="30" t="n">
        <f aca="false">IF(E$28=0,0,E27/E$28)</f>
        <v>0.00117115609837711</v>
      </c>
      <c r="L27" s="30" t="n">
        <f aca="false">IF(F$28=0,0,F27/F$28)</f>
        <v>0.00115568763414231</v>
      </c>
      <c r="M27" s="30" t="n">
        <f aca="false">IF(G$28=0,0,G27/G$28)</f>
        <v>0.00114062245396774</v>
      </c>
    </row>
    <row r="28" customFormat="false" ht="15" hidden="false" customHeight="false" outlineLevel="0" collapsed="false">
      <c r="B28" s="31" t="s">
        <v>151</v>
      </c>
      <c r="C28" s="32" t="n">
        <f aca="false">SUM(C19:C27)</f>
        <v>5837</v>
      </c>
      <c r="D28" s="32" t="n">
        <f aca="false">SUM(D19:D27)</f>
        <v>5897</v>
      </c>
      <c r="E28" s="32" t="n">
        <f aca="false">SUM(E19:E27)</f>
        <v>5977</v>
      </c>
      <c r="F28" s="32" t="n">
        <f aca="false">SUM(F19:F27)</f>
        <v>6057</v>
      </c>
      <c r="G28" s="32" t="n">
        <f aca="false">SUM(G19:G27)</f>
        <v>6137</v>
      </c>
      <c r="I28" s="33" t="n">
        <f aca="false">SUM(I19:I27)</f>
        <v>1</v>
      </c>
      <c r="J28" s="33" t="n">
        <f aca="false">SUM(J19:J27)</f>
        <v>1</v>
      </c>
      <c r="K28" s="33" t="n">
        <f aca="false">SUM(K19:K27)</f>
        <v>1</v>
      </c>
      <c r="L28" s="33" t="n">
        <f aca="false">SUM(L19:L27)</f>
        <v>1</v>
      </c>
      <c r="M28" s="33" t="n">
        <f aca="false">SUM(M19:M27)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5" min="4" style="0" width="11"/>
  </cols>
  <sheetData>
    <row r="1" customFormat="false" ht="17.35" hidden="false" customHeight="false" outlineLevel="0" collapsed="false">
      <c r="A1" s="1" t="s">
        <v>153</v>
      </c>
    </row>
    <row r="2" customFormat="false" ht="15" hidden="false" customHeight="false" outlineLevel="0" collapsed="false">
      <c r="A2" s="4" t="s">
        <v>154</v>
      </c>
    </row>
    <row r="4" customFormat="false" ht="15" hidden="false" customHeight="false" outlineLevel="0" collapsed="false">
      <c r="A4" s="5" t="s">
        <v>26</v>
      </c>
      <c r="B4" s="5" t="s">
        <v>155</v>
      </c>
      <c r="C4" s="5" t="s">
        <v>156</v>
      </c>
      <c r="D4" s="5" t="s">
        <v>157</v>
      </c>
      <c r="E4" s="5" t="s">
        <v>158</v>
      </c>
    </row>
    <row r="5" customFormat="false" ht="15" hidden="false" customHeight="false" outlineLevel="0" collapsed="false">
      <c r="A5" s="25" t="n">
        <v>2</v>
      </c>
      <c r="B5" s="21" t="n">
        <v>450</v>
      </c>
      <c r="C5" s="21" t="n">
        <v>250</v>
      </c>
      <c r="D5" s="30" t="n">
        <f aca="false">IF($B$15=0,0,B5/$B$15)</f>
        <v>0.45</v>
      </c>
      <c r="E5" s="30" t="n">
        <f aca="false">IF($C$15=0,0,C5/$C$15)</f>
        <v>0.251256281407035</v>
      </c>
    </row>
    <row r="6" customFormat="false" ht="15" hidden="false" customHeight="false" outlineLevel="0" collapsed="false">
      <c r="A6" s="25" t="n">
        <v>3</v>
      </c>
      <c r="B6" s="21" t="n">
        <v>300</v>
      </c>
      <c r="C6" s="21" t="n">
        <v>250</v>
      </c>
      <c r="D6" s="30" t="n">
        <f aca="false">IF($B$15=0,0,B6/$B$15)</f>
        <v>0.3</v>
      </c>
      <c r="E6" s="30" t="n">
        <f aca="false">IF($C$15=0,0,C6/$C$15)</f>
        <v>0.251256281407035</v>
      </c>
    </row>
    <row r="7" customFormat="false" ht="15" hidden="false" customHeight="false" outlineLevel="0" collapsed="false">
      <c r="A7" s="25" t="n">
        <v>4</v>
      </c>
      <c r="B7" s="21" t="n">
        <v>130</v>
      </c>
      <c r="C7" s="21" t="n">
        <v>180</v>
      </c>
      <c r="D7" s="30" t="n">
        <f aca="false">IF($B$15=0,0,B7/$B$15)</f>
        <v>0.13</v>
      </c>
      <c r="E7" s="30" t="n">
        <f aca="false">IF($C$15=0,0,C7/$C$15)</f>
        <v>0.180904522613065</v>
      </c>
    </row>
    <row r="8" customFormat="false" ht="15" hidden="false" customHeight="false" outlineLevel="0" collapsed="false">
      <c r="A8" s="25" t="n">
        <v>5</v>
      </c>
      <c r="B8" s="21" t="n">
        <v>60</v>
      </c>
      <c r="C8" s="21" t="n">
        <v>130</v>
      </c>
      <c r="D8" s="30" t="n">
        <f aca="false">IF($B$15=0,0,B8/$B$15)</f>
        <v>0.06</v>
      </c>
      <c r="E8" s="30" t="n">
        <f aca="false">IF($C$15=0,0,C8/$C$15)</f>
        <v>0.130653266331658</v>
      </c>
    </row>
    <row r="9" customFormat="false" ht="15" hidden="false" customHeight="false" outlineLevel="0" collapsed="false">
      <c r="A9" s="25" t="n">
        <v>6</v>
      </c>
      <c r="B9" s="21" t="n">
        <v>30</v>
      </c>
      <c r="C9" s="21" t="n">
        <v>80</v>
      </c>
      <c r="D9" s="30" t="n">
        <f aca="false">IF($B$15=0,0,B9/$B$15)</f>
        <v>0.03</v>
      </c>
      <c r="E9" s="30" t="n">
        <f aca="false">IF($C$15=0,0,C9/$C$15)</f>
        <v>0.0804020100502513</v>
      </c>
    </row>
    <row r="10" customFormat="false" ht="15" hidden="false" customHeight="false" outlineLevel="0" collapsed="false">
      <c r="A10" s="25" t="n">
        <v>8</v>
      </c>
      <c r="B10" s="21" t="n">
        <v>15</v>
      </c>
      <c r="C10" s="21" t="n">
        <v>50</v>
      </c>
      <c r="D10" s="30" t="n">
        <f aca="false">IF($B$15=0,0,B10/$B$15)</f>
        <v>0.015</v>
      </c>
      <c r="E10" s="30" t="n">
        <f aca="false">IF($C$15=0,0,C10/$C$15)</f>
        <v>0.050251256281407</v>
      </c>
    </row>
    <row r="11" customFormat="false" ht="15" hidden="false" customHeight="false" outlineLevel="0" collapsed="false">
      <c r="A11" s="25" t="n">
        <v>10</v>
      </c>
      <c r="B11" s="21" t="n">
        <v>8</v>
      </c>
      <c r="C11" s="21" t="n">
        <v>30</v>
      </c>
      <c r="D11" s="30" t="n">
        <f aca="false">IF($B$15=0,0,B11/$B$15)</f>
        <v>0.008</v>
      </c>
      <c r="E11" s="30" t="n">
        <f aca="false">IF($C$15=0,0,C11/$C$15)</f>
        <v>0.0301507537688442</v>
      </c>
    </row>
    <row r="12" customFormat="false" ht="15" hidden="false" customHeight="false" outlineLevel="0" collapsed="false">
      <c r="A12" s="25" t="n">
        <v>15</v>
      </c>
      <c r="B12" s="21" t="n">
        <v>4</v>
      </c>
      <c r="C12" s="21" t="n">
        <v>15</v>
      </c>
      <c r="D12" s="30" t="n">
        <f aca="false">IF($B$15=0,0,B12/$B$15)</f>
        <v>0.004</v>
      </c>
      <c r="E12" s="30" t="n">
        <f aca="false">IF($C$15=0,0,C12/$C$15)</f>
        <v>0.0150753768844221</v>
      </c>
    </row>
    <row r="13" customFormat="false" ht="15" hidden="false" customHeight="false" outlineLevel="0" collapsed="false">
      <c r="A13" s="25" t="n">
        <v>20</v>
      </c>
      <c r="B13" s="21" t="n">
        <v>2</v>
      </c>
      <c r="C13" s="21" t="n">
        <v>8</v>
      </c>
      <c r="D13" s="30" t="n">
        <f aca="false">IF($B$15=0,0,B13/$B$15)</f>
        <v>0.002</v>
      </c>
      <c r="E13" s="30" t="n">
        <f aca="false">IF($C$15=0,0,C13/$C$15)</f>
        <v>0.00804020100502513</v>
      </c>
    </row>
    <row r="14" customFormat="false" ht="15" hidden="false" customHeight="false" outlineLevel="0" collapsed="false">
      <c r="A14" s="25" t="n">
        <v>50</v>
      </c>
      <c r="B14" s="21" t="n">
        <v>1</v>
      </c>
      <c r="C14" s="21" t="n">
        <v>2</v>
      </c>
      <c r="D14" s="30" t="n">
        <f aca="false">IF($B$15=0,0,B14/$B$15)</f>
        <v>0.001</v>
      </c>
      <c r="E14" s="30" t="n">
        <f aca="false">IF($C$15=0,0,C14/$C$15)</f>
        <v>0.00201005025125628</v>
      </c>
    </row>
    <row r="15" customFormat="false" ht="15" hidden="false" customHeight="false" outlineLevel="0" collapsed="false">
      <c r="A15" s="31" t="s">
        <v>151</v>
      </c>
      <c r="B15" s="32" t="n">
        <f aca="false">SUM(B5:B14)</f>
        <v>1000</v>
      </c>
      <c r="C15" s="32" t="n">
        <f aca="false">SUM(C5:C14)</f>
        <v>995</v>
      </c>
      <c r="D15" s="33" t="n">
        <f aca="false">SUM(D5:D14)</f>
        <v>1</v>
      </c>
      <c r="E15" s="33" t="n">
        <f aca="false">SUM(E5:E14)</f>
        <v>1</v>
      </c>
    </row>
    <row r="16" customFormat="false" ht="15" hidden="false" customHeight="false" outlineLevel="0" collapsed="false">
      <c r="A16" s="31" t="s">
        <v>159</v>
      </c>
      <c r="B16" s="34"/>
      <c r="C16" s="34"/>
      <c r="D16" s="35" t="n">
        <f aca="false">SUMPRODUCT(A5:A14,D5:D14)</f>
        <v>3.15</v>
      </c>
      <c r="E16" s="35" t="n">
        <f aca="false">SUMPRODUCT(A5:A14,E5:E14)</f>
        <v>4.30653266331658</v>
      </c>
    </row>
    <row r="18" customFormat="false" ht="15" hidden="false" customHeight="false" outlineLevel="0" collapsed="false">
      <c r="A18" s="4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7" min="3" style="0" width="9"/>
    <col collapsed="false" customWidth="true" hidden="false" outlineLevel="0" max="10" min="8" style="0" width="11"/>
    <col collapsed="false" customWidth="true" hidden="false" outlineLevel="0" max="11" min="11" style="0" width="13"/>
    <col collapsed="false" customWidth="true" hidden="false" outlineLevel="0" max="12" min="12" style="0" width="10"/>
  </cols>
  <sheetData>
    <row r="1" customFormat="false" ht="17.35" hidden="false" customHeight="false" outlineLevel="0" collapsed="false">
      <c r="A1" s="1" t="s">
        <v>161</v>
      </c>
    </row>
    <row r="2" customFormat="false" ht="15" hidden="false" customHeight="false" outlineLevel="0" collapsed="false">
      <c r="A2" s="4" t="s">
        <v>162</v>
      </c>
    </row>
    <row r="3" customFormat="false" ht="15" hidden="false" customHeight="false" outlineLevel="0" collapsed="false">
      <c r="A3" s="11" t="s">
        <v>163</v>
      </c>
    </row>
    <row r="4" customFormat="false" ht="15" hidden="false" customHeight="false" outlineLevel="0" collapsed="false">
      <c r="A4" s="5" t="s">
        <v>105</v>
      </c>
      <c r="B4" s="5" t="s">
        <v>106</v>
      </c>
      <c r="C4" s="5" t="s">
        <v>164</v>
      </c>
      <c r="D4" s="5" t="s">
        <v>165</v>
      </c>
      <c r="E4" s="5" t="s">
        <v>166</v>
      </c>
      <c r="F4" s="5" t="s">
        <v>167</v>
      </c>
      <c r="G4" s="5" t="s">
        <v>168</v>
      </c>
      <c r="H4" s="5" t="s">
        <v>169</v>
      </c>
      <c r="I4" s="5" t="s">
        <v>170</v>
      </c>
      <c r="J4" s="5" t="s">
        <v>171</v>
      </c>
      <c r="K4" s="5" t="s">
        <v>172</v>
      </c>
      <c r="L4" s="5" t="s">
        <v>173</v>
      </c>
    </row>
    <row r="5" customFormat="false" ht="15" hidden="false" customHeight="false" outlineLevel="0" collapsed="false">
      <c r="A5" s="29" t="str">
        <f aca="false">Paytable!A4</f>
        <v>H1</v>
      </c>
      <c r="B5" s="29" t="str">
        <f aca="false">Paytable!B4</f>
        <v>Singe</v>
      </c>
      <c r="C5" s="36" t="n">
        <f aca="false">Poids!I5</f>
        <v>0.0513610683102209</v>
      </c>
      <c r="D5" s="36" t="n">
        <f aca="false">Poids!J5</f>
        <v>0.054505195026401</v>
      </c>
      <c r="E5" s="36" t="n">
        <f aca="false">Poids!K5</f>
        <v>0.0573259146855505</v>
      </c>
      <c r="F5" s="36" t="n">
        <f aca="false">Poids!L5</f>
        <v>0.059890201297621</v>
      </c>
      <c r="G5" s="36" t="n">
        <f aca="false">Poids!M5</f>
        <v>0.0623871285503201</v>
      </c>
      <c r="H5" s="37" t="n">
        <f aca="false">IF(MODE_GAIN="WAYS",NB_LIGNES^3*C5*D5*E5*(1-F5)^NB_LIGNES,NB_PAYLINES*C5*D5*E5*(1-F5))</f>
        <v>0.00301739047052251</v>
      </c>
      <c r="I5" s="37" t="n">
        <f aca="false">IF(MODE_GAIN="WAYS",NB_LIGNES^4*C5*D5*E5*F5*(1-G5)^NB_LIGNES,NB_PAYLINES*C5*D5*E5*F5*(1-G5))</f>
        <v>0.000180232152115828</v>
      </c>
      <c r="J5" s="37" t="n">
        <f aca="false">IF(MODE_GAIN="WAYS",NB_LIGNES^5,NB_PAYLINES)*C5*D5*E5*F5*G5</f>
        <v>1.19923337075844E-005</v>
      </c>
      <c r="K5" s="30" t="n">
        <f aca="false">Paytable!D4*H5+Paytable!E4*I5+Paytable!F4*J5</f>
        <v>0.00561912380568425</v>
      </c>
      <c r="L5" s="30" t="n">
        <f aca="false">IF($K$12=0,0,K5/$K$12)</f>
        <v>0.0209204395190634</v>
      </c>
    </row>
    <row r="6" customFormat="false" ht="15" hidden="false" customHeight="false" outlineLevel="0" collapsed="false">
      <c r="A6" s="29" t="str">
        <f aca="false">Paytable!A5</f>
        <v>H2</v>
      </c>
      <c r="B6" s="29" t="str">
        <f aca="false">Paytable!B5</f>
        <v>Sac à dos</v>
      </c>
      <c r="C6" s="36" t="n">
        <f aca="false">Poids!I6</f>
        <v>0.0770416024653313</v>
      </c>
      <c r="D6" s="36" t="n">
        <f aca="false">Poids!J6</f>
        <v>0.0783512178504514</v>
      </c>
      <c r="E6" s="36" t="n">
        <f aca="false">Poids!K6</f>
        <v>0.0809307030854831</v>
      </c>
      <c r="F6" s="36" t="n">
        <f aca="false">Poids!L6</f>
        <v>0.0831808351355848</v>
      </c>
      <c r="G6" s="36" t="n">
        <f aca="false">Poids!M6</f>
        <v>0.0853718601214907</v>
      </c>
      <c r="H6" s="37" t="n">
        <f aca="false">IF(MODE_GAIN="WAYS",NB_LIGNES^3*C6*D6*E6*(1-F6)^NB_LIGNES,NB_PAYLINES*C6*D6*E6*(1-F6))</f>
        <v>0.00895773171013786</v>
      </c>
      <c r="I6" s="37" t="n">
        <f aca="false">IF(MODE_GAIN="WAYS",NB_LIGNES^4*C6*D6*E6*F6*(1-G6)^NB_LIGNES,NB_PAYLINES*C6*D6*E6*F6*(1-G6))</f>
        <v>0.000743330928286529</v>
      </c>
      <c r="J6" s="37" t="n">
        <f aca="false">IF(MODE_GAIN="WAYS",NB_LIGNES^5,NB_PAYLINES)*C6*D6*E6*F6*G6</f>
        <v>6.93828904521621E-005</v>
      </c>
      <c r="K6" s="30" t="n">
        <f aca="false">Paytable!D5*H6+Paytable!E5*I6+Paytable!F5*J6</f>
        <v>0.012114453082758</v>
      </c>
      <c r="L6" s="30" t="n">
        <f aca="false">IF($K$12=0,0,K6/$K$12)</f>
        <v>0.0451030608665346</v>
      </c>
    </row>
    <row r="7" customFormat="false" ht="15" hidden="false" customHeight="false" outlineLevel="0" collapsed="false">
      <c r="A7" s="29" t="str">
        <f aca="false">Paytable!A6</f>
        <v>H3</v>
      </c>
      <c r="B7" s="29" t="str">
        <f aca="false">Paytable!B6</f>
        <v>Basket</v>
      </c>
      <c r="C7" s="36" t="n">
        <f aca="false">Poids!I7</f>
        <v>0.102722136620442</v>
      </c>
      <c r="D7" s="36" t="n">
        <f aca="false">Poids!J7</f>
        <v>0.102197240674502</v>
      </c>
      <c r="E7" s="36" t="n">
        <f aca="false">Poids!K7</f>
        <v>0.104535491485416</v>
      </c>
      <c r="F7" s="36" t="n">
        <f aca="false">Poids!L7</f>
        <v>0.106471468973548</v>
      </c>
      <c r="G7" s="36" t="n">
        <f aca="false">Poids!M7</f>
        <v>0.108356591692661</v>
      </c>
      <c r="H7" s="37" t="n">
        <f aca="false">IF(MODE_GAIN="WAYS",NB_LIGNES^3*C7*D7*E7*(1-F7)^NB_LIGNES,NB_PAYLINES*C7*D7*E7*(1-F7))</f>
        <v>0.0196112555846103</v>
      </c>
      <c r="I7" s="37" t="n">
        <f aca="false">IF(MODE_GAIN="WAYS",NB_LIGNES^4*C7*D7*E7*F7*(1-G7)^NB_LIGNES,NB_PAYLINES*C7*D7*E7*F7*(1-G7))</f>
        <v>0.002083633947722</v>
      </c>
      <c r="J7" s="37" t="n">
        <f aca="false">IF(MODE_GAIN="WAYS",NB_LIGNES^5,NB_PAYLINES)*C7*D7*E7*F7*G7</f>
        <v>0.000253212742680265</v>
      </c>
      <c r="K7" s="30" t="n">
        <f aca="false">Paytable!D6*H7+Paytable!E6*I7+Paytable!F6*J7</f>
        <v>0.0216656692374181</v>
      </c>
      <c r="L7" s="30" t="n">
        <f aca="false">IF($K$12=0,0,K7/$K$12)</f>
        <v>0.0806629892124693</v>
      </c>
    </row>
    <row r="8" customFormat="false" ht="15" hidden="false" customHeight="false" outlineLevel="0" collapsed="false">
      <c r="A8" s="29" t="str">
        <f aca="false">Paytable!A7</f>
        <v>M1</v>
      </c>
      <c r="B8" s="29" t="str">
        <f aca="false">Paytable!B7</f>
        <v>Gourde</v>
      </c>
      <c r="C8" s="36" t="n">
        <f aca="false">Poids!I8</f>
        <v>0.136962848827256</v>
      </c>
      <c r="D8" s="36" t="n">
        <f aca="false">Poids!J8</f>
        <v>0.136262987566002</v>
      </c>
      <c r="E8" s="36" t="n">
        <f aca="false">Poids!K8</f>
        <v>0.134884505142472</v>
      </c>
      <c r="F8" s="36" t="n">
        <f aca="false">Poids!L8</f>
        <v>0.136416569622359</v>
      </c>
      <c r="G8" s="36" t="n">
        <f aca="false">Poids!M8</f>
        <v>0.137908389427023</v>
      </c>
      <c r="H8" s="37" t="n">
        <f aca="false">IF(MODE_GAIN="WAYS",NB_LIGNES^3*C8*D8*E8*(1-F8)^NB_LIGNES,NB_PAYLINES*C8*D8*E8*(1-F8))</f>
        <v>0.043478749712825</v>
      </c>
      <c r="I8" s="37" t="n">
        <f aca="false">IF(MODE_GAIN="WAYS",NB_LIGNES^4*C8*D8*E8*F8*(1-G8)^NB_LIGNES,NB_PAYLINES*C8*D8*E8*F8*(1-G8))</f>
        <v>0.00592097584276931</v>
      </c>
      <c r="J8" s="37" t="n">
        <f aca="false">IF(MODE_GAIN="WAYS",NB_LIGNES^5,NB_PAYLINES)*C8*D8*E8*F8*G8</f>
        <v>0.000947175720420152</v>
      </c>
      <c r="K8" s="30" t="n">
        <f aca="false">Paytable!D7*H8+Paytable!E7*I8+Paytable!F7*J8</f>
        <v>0.0375970134570005</v>
      </c>
      <c r="L8" s="30" t="n">
        <f aca="false">IF($K$12=0,0,K8/$K$12)</f>
        <v>0.139976635739709</v>
      </c>
    </row>
    <row r="9" customFormat="false" ht="15" hidden="false" customHeight="false" outlineLevel="0" collapsed="false">
      <c r="A9" s="29" t="str">
        <f aca="false">Paytable!A8</f>
        <v>L1</v>
      </c>
      <c r="B9" s="29" t="str">
        <f aca="false">Paytable!B8</f>
        <v>Pomme</v>
      </c>
      <c r="C9" s="36" t="n">
        <f aca="false">Poids!I9</f>
        <v>0.188323917137476</v>
      </c>
      <c r="D9" s="36" t="n">
        <f aca="false">Poids!J9</f>
        <v>0.187361607903253</v>
      </c>
      <c r="E9" s="36" t="n">
        <f aca="false">Poids!K9</f>
        <v>0.185466194570899</v>
      </c>
      <c r="F9" s="36" t="n">
        <f aca="false">Poids!L9</f>
        <v>0.182997837298286</v>
      </c>
      <c r="G9" s="36" t="n">
        <f aca="false">Poids!M9</f>
        <v>0.180594319487769</v>
      </c>
      <c r="H9" s="37" t="n">
        <f aca="false">IF(MODE_GAIN="WAYS",NB_LIGNES^3*C9*D9*E9*(1-F9)^NB_LIGNES,NB_PAYLINES*C9*D9*E9*(1-F9))</f>
        <v>0.106931103008294</v>
      </c>
      <c r="I9" s="37" t="n">
        <f aca="false">IF(MODE_GAIN="WAYS",NB_LIGNES^4*C9*D9*E9*F9*(1-G9)^NB_LIGNES,NB_PAYLINES*C9*D9*E9*F9*(1-G9))</f>
        <v>0.0196257276626507</v>
      </c>
      <c r="J9" s="37" t="n">
        <f aca="false">IF(MODE_GAIN="WAYS",NB_LIGNES^5,NB_PAYLINES)*C9*D9*E9*F9*G9</f>
        <v>0.00432544588838225</v>
      </c>
      <c r="K9" s="30" t="n">
        <f aca="false">Paytable!D8*H9+Paytable!E8*I9+Paytable!F8*J9</f>
        <v>0.0572958939870496</v>
      </c>
      <c r="L9" s="30" t="n">
        <f aca="false">IF($K$12=0,0,K9/$K$12)</f>
        <v>0.213317116030473</v>
      </c>
    </row>
    <row r="10" customFormat="false" ht="15" hidden="false" customHeight="false" outlineLevel="0" collapsed="false">
      <c r="A10" s="29" t="str">
        <f aca="false">Paytable!A9</f>
        <v>L2</v>
      </c>
      <c r="B10" s="29" t="str">
        <f aca="false">Paytable!B9</f>
        <v>Sifflet</v>
      </c>
      <c r="C10" s="36" t="n">
        <f aca="false">Poids!I10</f>
        <v>0.205444273240883</v>
      </c>
      <c r="D10" s="36" t="n">
        <f aca="false">Poids!J10</f>
        <v>0.204394481349004</v>
      </c>
      <c r="E10" s="36" t="n">
        <f aca="false">Poids!K10</f>
        <v>0.202326757713708</v>
      </c>
      <c r="F10" s="36" t="n">
        <f aca="false">Poids!L10</f>
        <v>0.199634004325403</v>
      </c>
      <c r="G10" s="36" t="n">
        <f aca="false">Poids!M10</f>
        <v>0.197011984895748</v>
      </c>
      <c r="H10" s="37" t="n">
        <f aca="false">IF(MODE_GAIN="WAYS",NB_LIGNES^3*C10*D10*E10*(1-F10)^NB_LIGNES,NB_PAYLINES*C10*D10*E10*(1-F10))</f>
        <v>0.135998823720064</v>
      </c>
      <c r="I10" s="37" t="n">
        <f aca="false">IF(MODE_GAIN="WAYS",NB_LIGNES^4*C10*D10*E10*F10*(1-G10)^NB_LIGNES,NB_PAYLINES*C10*D10*E10*F10*(1-G10))</f>
        <v>0.027238933822196</v>
      </c>
      <c r="J10" s="37" t="n">
        <f aca="false">IF(MODE_GAIN="WAYS",NB_LIGNES^5,NB_PAYLINES)*C10*D10*E10*F10*G10</f>
        <v>0.00668303426428853</v>
      </c>
      <c r="K10" s="30" t="n">
        <f aca="false">Paytable!D9*H10+Paytable!E9*I10+Paytable!F9*J10</f>
        <v>0.0644281178548437</v>
      </c>
      <c r="L10" s="30" t="n">
        <f aca="false">IF($K$12=0,0,K10/$K$12)</f>
        <v>0.239870945990879</v>
      </c>
    </row>
    <row r="11" customFormat="false" ht="15" hidden="false" customHeight="false" outlineLevel="0" collapsed="false">
      <c r="A11" s="29" t="str">
        <f aca="false">Paytable!A10</f>
        <v>L3</v>
      </c>
      <c r="B11" s="29" t="str">
        <f aca="false">Paytable!B10</f>
        <v>Gomme</v>
      </c>
      <c r="C11" s="36" t="n">
        <f aca="false">Poids!I11</f>
        <v>0.22256462934429</v>
      </c>
      <c r="D11" s="36" t="n">
        <f aca="false">Poids!J11</f>
        <v>0.221427354794754</v>
      </c>
      <c r="E11" s="36" t="n">
        <f aca="false">Poids!K11</f>
        <v>0.219187320856517</v>
      </c>
      <c r="F11" s="36" t="n">
        <f aca="false">Poids!L11</f>
        <v>0.21627017135252</v>
      </c>
      <c r="G11" s="36" t="n">
        <f aca="false">Poids!M11</f>
        <v>0.213429650303727</v>
      </c>
      <c r="H11" s="37" t="n">
        <f aca="false">IF(MODE_GAIN="WAYS",NB_LIGNES^3*C11*D11*E11*(1-F11)^NB_LIGNES,NB_PAYLINES*C11*D11*E11*(1-F11))</f>
        <v>0.169316474955139</v>
      </c>
      <c r="I11" s="37" t="n">
        <f aca="false">IF(MODE_GAIN="WAYS",NB_LIGNES^4*C11*D11*E11*F11*(1-G11)^NB_LIGNES,NB_PAYLINES*C11*D11*E11*F11*(1-G11))</f>
        <v>0.0367508203331024</v>
      </c>
      <c r="J11" s="37" t="n">
        <f aca="false">IF(MODE_GAIN="WAYS",NB_LIGNES^5,NB_PAYLINES)*C11*D11*E11*F11*G11</f>
        <v>0.00997204475746881</v>
      </c>
      <c r="K11" s="30" t="n">
        <f aca="false">Paytable!D10*H11+Paytable!E10*I11+Paytable!F10*J11</f>
        <v>0.0698746498513456</v>
      </c>
      <c r="L11" s="30" t="n">
        <f aca="false">IF($K$12=0,0,K11/$K$12)</f>
        <v>0.260148812640871</v>
      </c>
    </row>
    <row r="12" customFormat="false" ht="15" hidden="false" customHeight="false" outlineLevel="0" collapsed="false">
      <c r="B12" s="31" t="s">
        <v>151</v>
      </c>
      <c r="C12" s="34"/>
      <c r="D12" s="34"/>
      <c r="E12" s="34"/>
      <c r="F12" s="34"/>
      <c r="G12" s="34"/>
      <c r="H12" s="38" t="n">
        <f aca="false">SUM(H5:H11)</f>
        <v>0.487311529161592</v>
      </c>
      <c r="I12" s="38" t="n">
        <f aca="false">SUM(I5:I11)</f>
        <v>0.0925436546888427</v>
      </c>
      <c r="J12" s="38" t="n">
        <f aca="false">SUM(J5:J11)</f>
        <v>0.0222622885973998</v>
      </c>
      <c r="K12" s="33" t="n">
        <f aca="false">SUM(K5:K11)</f>
        <v>0.2685949212761</v>
      </c>
      <c r="L12" s="33" t="n">
        <f aca="false">SUM(L5:L11)</f>
        <v>1</v>
      </c>
    </row>
    <row r="15" customFormat="false" ht="15" hidden="false" customHeight="false" outlineLevel="0" collapsed="false">
      <c r="A15" s="11" t="s">
        <v>174</v>
      </c>
    </row>
    <row r="16" customFormat="false" ht="15" hidden="false" customHeight="false" outlineLevel="0" collapsed="false">
      <c r="A16" s="5" t="s">
        <v>105</v>
      </c>
      <c r="B16" s="5" t="s">
        <v>106</v>
      </c>
      <c r="C16" s="5" t="s">
        <v>164</v>
      </c>
      <c r="D16" s="5" t="s">
        <v>165</v>
      </c>
      <c r="E16" s="5" t="s">
        <v>166</v>
      </c>
      <c r="F16" s="5" t="s">
        <v>167</v>
      </c>
      <c r="G16" s="5" t="s">
        <v>168</v>
      </c>
      <c r="H16" s="5" t="s">
        <v>169</v>
      </c>
      <c r="I16" s="5" t="s">
        <v>170</v>
      </c>
      <c r="J16" s="5" t="s">
        <v>171</v>
      </c>
      <c r="K16" s="5" t="s">
        <v>172</v>
      </c>
      <c r="L16" s="5" t="s">
        <v>173</v>
      </c>
    </row>
    <row r="17" customFormat="false" ht="15" hidden="false" customHeight="false" outlineLevel="0" collapsed="false">
      <c r="A17" s="29" t="str">
        <f aca="false">Paytable!A4</f>
        <v>H1</v>
      </c>
      <c r="B17" s="29" t="str">
        <f aca="false">Paytable!B4</f>
        <v>Singe</v>
      </c>
      <c r="C17" s="36" t="n">
        <f aca="false">Poids!I19</f>
        <v>0.0582491005653589</v>
      </c>
      <c r="D17" s="36" t="n">
        <f aca="false">Poids!J19</f>
        <v>0.0610479905036459</v>
      </c>
      <c r="E17" s="36" t="n">
        <f aca="false">Poids!K19</f>
        <v>0.0635770453404718</v>
      </c>
      <c r="F17" s="36" t="n">
        <f aca="false">Poids!L19</f>
        <v>0.0660392933795608</v>
      </c>
      <c r="G17" s="36" t="n">
        <f aca="false">Poids!M19</f>
        <v>0.0684373472380642</v>
      </c>
      <c r="H17" s="37" t="n">
        <f aca="false">IF(MODE_GAIN="WAYS",NB_LIGNES^3*C17*D17*E17*(1-F17)^NB_LIGNES,NB_PAYLINES*C17*D17*E17*(1-F17))</f>
        <v>0.00422298499443559</v>
      </c>
      <c r="I17" s="37" t="n">
        <f aca="false">IF(MODE_GAIN="WAYS",NB_LIGNES^4*C17*D17*E17*F17*(1-G17)^NB_LIGNES,NB_PAYLINES*C17*D17*E17*F17*(1-G17))</f>
        <v>0.000278166880253863</v>
      </c>
      <c r="J17" s="37" t="n">
        <f aca="false">IF(MODE_GAIN="WAYS",NB_LIGNES^5,NB_PAYLINES)*C17*D17*E17*F17*G17</f>
        <v>2.04355588082251E-005</v>
      </c>
      <c r="K17" s="30" t="n">
        <f aca="false">Paytable!D4*H17+Paytable!E4*I17+Paytable!F4*J17</f>
        <v>0.0080522808338543</v>
      </c>
      <c r="L17" s="30" t="n">
        <f aca="false">IF($K$24=0,0,K17/$K$24)</f>
        <v>0.0321954635948349</v>
      </c>
    </row>
    <row r="18" customFormat="false" ht="15" hidden="false" customHeight="false" outlineLevel="0" collapsed="false">
      <c r="A18" s="29" t="str">
        <f aca="false">Paytable!A5</f>
        <v>H2</v>
      </c>
      <c r="B18" s="29" t="str">
        <f aca="false">Paytable!B5</f>
        <v>Sac à dos</v>
      </c>
      <c r="C18" s="36" t="n">
        <f aca="false">Poids!I20</f>
        <v>0.0822340243275655</v>
      </c>
      <c r="D18" s="36" t="n">
        <f aca="false">Poids!J20</f>
        <v>0.0847888756995082</v>
      </c>
      <c r="E18" s="36" t="n">
        <f aca="false">Poids!K20</f>
        <v>0.0870001673080141</v>
      </c>
      <c r="F18" s="36" t="n">
        <f aca="false">Poids!L20</f>
        <v>0.0891530460624071</v>
      </c>
      <c r="G18" s="36" t="n">
        <f aca="false">Poids!M20</f>
        <v>0.0912497963174189</v>
      </c>
      <c r="H18" s="37" t="n">
        <f aca="false">IF(MODE_GAIN="WAYS",NB_LIGNES^3*C18*D18*E18*(1-F18)^NB_LIGNES,NB_PAYLINES*C18*D18*E18*(1-F18))</f>
        <v>0.0110506014096863</v>
      </c>
      <c r="I18" s="37" t="n">
        <f aca="false">IF(MODE_GAIN="WAYS",NB_LIGNES^4*C18*D18*E18*F18*(1-G18)^NB_LIGNES,NB_PAYLINES*C18*D18*E18*F18*(1-G18))</f>
        <v>0.000982926879138738</v>
      </c>
      <c r="J18" s="37" t="n">
        <f aca="false">IF(MODE_GAIN="WAYS",NB_LIGNES^5,NB_PAYLINES)*C18*D18*E18*F18*G18</f>
        <v>9.86980549251736E-005</v>
      </c>
      <c r="K18" s="30" t="n">
        <f aca="false">Paytable!D5*H18+Paytable!E5*I18+Paytable!F5*J18</f>
        <v>0.0152804299260733</v>
      </c>
      <c r="L18" s="30" t="n">
        <f aca="false">IF($K$24=0,0,K18/$K$24)</f>
        <v>0.0610957982650036</v>
      </c>
    </row>
    <row r="19" customFormat="false" ht="15" hidden="false" customHeight="false" outlineLevel="0" collapsed="false">
      <c r="A19" s="29" t="str">
        <f aca="false">Paytable!A6</f>
        <v>H3</v>
      </c>
      <c r="B19" s="29" t="str">
        <f aca="false">Paytable!B6</f>
        <v>Basket</v>
      </c>
      <c r="C19" s="36" t="n">
        <f aca="false">Poids!I21</f>
        <v>0.106218948089772</v>
      </c>
      <c r="D19" s="36" t="n">
        <f aca="false">Poids!J21</f>
        <v>0.108529760895371</v>
      </c>
      <c r="E19" s="36" t="n">
        <f aca="false">Poids!K21</f>
        <v>0.110423289275556</v>
      </c>
      <c r="F19" s="36" t="n">
        <f aca="false">Poids!L21</f>
        <v>0.112266798745253</v>
      </c>
      <c r="G19" s="36" t="n">
        <f aca="false">Poids!M21</f>
        <v>0.114062245396774</v>
      </c>
      <c r="H19" s="37" t="n">
        <f aca="false">IF(MODE_GAIN="WAYS",NB_LIGNES^3*C19*D19*E19*(1-F19)^NB_LIGNES,NB_PAYLINES*C19*D19*E19*(1-F19))</f>
        <v>0.0226008087661245</v>
      </c>
      <c r="I19" s="37" t="n">
        <f aca="false">IF(MODE_GAIN="WAYS",NB_LIGNES^4*C19*D19*E19*F19*(1-G19)^NB_LIGNES,NB_PAYLINES*C19*D19*E19*F19*(1-G19))</f>
        <v>0.00253218870074847</v>
      </c>
      <c r="J19" s="37" t="n">
        <f aca="false">IF(MODE_GAIN="WAYS",NB_LIGNES^5,NB_PAYLINES)*C19*D19*E19*F19*G19</f>
        <v>0.000326012891396713</v>
      </c>
      <c r="K19" s="30" t="n">
        <f aca="false">Paytable!D6*H19+Paytable!E6*I19+Paytable!F6*J19</f>
        <v>0.0254445330572281</v>
      </c>
      <c r="L19" s="30" t="n">
        <f aca="false">IF($K$24=0,0,K19/$K$24)</f>
        <v>0.101734968592674</v>
      </c>
    </row>
    <row r="20" customFormat="false" ht="15" hidden="false" customHeight="false" outlineLevel="0" collapsed="false">
      <c r="A20" s="29" t="str">
        <f aca="false">Paytable!A7</f>
        <v>M1</v>
      </c>
      <c r="B20" s="29" t="str">
        <f aca="false">Paytable!B7</f>
        <v>Gourde</v>
      </c>
      <c r="C20" s="36" t="n">
        <f aca="false">Poids!I22</f>
        <v>0.137056707212609</v>
      </c>
      <c r="D20" s="36" t="n">
        <f aca="false">Poids!J22</f>
        <v>0.135662201119213</v>
      </c>
      <c r="E20" s="36" t="n">
        <f aca="false">Poids!K22</f>
        <v>0.137192571524176</v>
      </c>
      <c r="F20" s="36" t="n">
        <f aca="false">Poids!L22</f>
        <v>0.138682516097078</v>
      </c>
      <c r="G20" s="36" t="n">
        <f aca="false">Poids!M22</f>
        <v>0.140133615773179</v>
      </c>
      <c r="H20" s="37" t="n">
        <f aca="false">IF(MODE_GAIN="WAYS",NB_LIGNES^3*C20*D20*E20*(1-F20)^NB_LIGNES,NB_PAYLINES*C20*D20*E20*(1-F20))</f>
        <v>0.0439423226061669</v>
      </c>
      <c r="I20" s="37" t="n">
        <f aca="false">IF(MODE_GAIN="WAYS",NB_LIGNES^4*C20*D20*E20*F20*(1-G20)^NB_LIGNES,NB_PAYLINES*C20*D20*E20*F20*(1-G20))</f>
        <v>0.00608376497705008</v>
      </c>
      <c r="J20" s="37" t="n">
        <f aca="false">IF(MODE_GAIN="WAYS",NB_LIGNES^5,NB_PAYLINES)*C20*D20*E20*F20*G20</f>
        <v>0.000991479605886502</v>
      </c>
      <c r="K20" s="30" t="n">
        <f aca="false">Paytable!D7*H20+Paytable!E7*I20+Paytable!F7*J20</f>
        <v>0.0382536951915843</v>
      </c>
      <c r="L20" s="30" t="n">
        <f aca="false">IF($K$24=0,0,K20/$K$24)</f>
        <v>0.152949887903878</v>
      </c>
    </row>
    <row r="21" customFormat="false" ht="15" hidden="false" customHeight="false" outlineLevel="0" collapsed="false">
      <c r="A21" s="29" t="str">
        <f aca="false">Paytable!A8</f>
        <v>L1</v>
      </c>
      <c r="B21" s="29" t="str">
        <f aca="false">Paytable!B8</f>
        <v>Pomme</v>
      </c>
      <c r="C21" s="36" t="n">
        <f aca="false">Poids!I23</f>
        <v>0.17988692821655</v>
      </c>
      <c r="D21" s="36" t="n">
        <f aca="false">Poids!J23</f>
        <v>0.178056638968967</v>
      </c>
      <c r="E21" s="36" t="n">
        <f aca="false">Poids!K23</f>
        <v>0.175673414756567</v>
      </c>
      <c r="F21" s="36" t="n">
        <f aca="false">Poids!L23</f>
        <v>0.173353145121347</v>
      </c>
      <c r="G21" s="36" t="n">
        <f aca="false">Poids!M23</f>
        <v>0.171093368095161</v>
      </c>
      <c r="H21" s="37" t="n">
        <f aca="false">IF(MODE_GAIN="WAYS",NB_LIGNES^3*C21*D21*E21*(1-F21)^NB_LIGNES,NB_PAYLINES*C21*D21*E21*(1-F21))</f>
        <v>0.0930280320205477</v>
      </c>
      <c r="I21" s="37" t="n">
        <f aca="false">IF(MODE_GAIN="WAYS",NB_LIGNES^4*C21*D21*E21*F21*(1-G21)^NB_LIGNES,NB_PAYLINES*C21*D21*E21*F21*(1-G21))</f>
        <v>0.0161707869641766</v>
      </c>
      <c r="J21" s="37" t="n">
        <f aca="false">IF(MODE_GAIN="WAYS",NB_LIGNES^5,NB_PAYLINES)*C21*D21*E21*F21*G21</f>
        <v>0.00333778775553085</v>
      </c>
      <c r="K21" s="30" t="n">
        <f aca="false">Paytable!D8*H21+Paytable!E8*I21+Paytable!F8*J21</f>
        <v>0.0481881722396734</v>
      </c>
      <c r="L21" s="30" t="n">
        <f aca="false">IF($K$24=0,0,K21/$K$24)</f>
        <v>0.192670943432735</v>
      </c>
    </row>
    <row r="22" customFormat="false" ht="15" hidden="false" customHeight="false" outlineLevel="0" collapsed="false">
      <c r="A22" s="29" t="str">
        <f aca="false">Paytable!A9</f>
        <v>L2</v>
      </c>
      <c r="B22" s="29" t="str">
        <f aca="false">Paytable!B9</f>
        <v>Sifflet</v>
      </c>
      <c r="C22" s="36" t="n">
        <f aca="false">Poids!I24</f>
        <v>0.197019016618126</v>
      </c>
      <c r="D22" s="36" t="n">
        <f aca="false">Poids!J24</f>
        <v>0.195014414108869</v>
      </c>
      <c r="E22" s="36" t="n">
        <f aca="false">Poids!K24</f>
        <v>0.192404216161954</v>
      </c>
      <c r="F22" s="36" t="n">
        <f aca="false">Poids!L24</f>
        <v>0.189862968466237</v>
      </c>
      <c r="G22" s="36" t="n">
        <f aca="false">Poids!M24</f>
        <v>0.187387974580414</v>
      </c>
      <c r="H22" s="37" t="n">
        <f aca="false">IF(MODE_GAIN="WAYS",NB_LIGNES^3*C22*D22*E22*(1-F22)^NB_LIGNES,NB_PAYLINES*C22*D22*E22*(1-F22))</f>
        <v>0.119778239109449</v>
      </c>
      <c r="I22" s="37" t="n">
        <f aca="false">IF(MODE_GAIN="WAYS",NB_LIGNES^4*C22*D22*E22*F22*(1-G22)^NB_LIGNES,NB_PAYLINES*C22*D22*E22*F22*(1-G22))</f>
        <v>0.0228109278798673</v>
      </c>
      <c r="J22" s="37" t="n">
        <f aca="false">IF(MODE_GAIN="WAYS",NB_LIGNES^5,NB_PAYLINES)*C22*D22*E22*F22*G22</f>
        <v>0.0052601899061254</v>
      </c>
      <c r="K22" s="30" t="n">
        <f aca="false">Paytable!D9*H22+Paytable!E9*I22+Paytable!F9*J22</f>
        <v>0.0548545321336825</v>
      </c>
      <c r="L22" s="30" t="n">
        <f aca="false">IF($K$24=0,0,K22/$K$24)</f>
        <v>0.219325074318891</v>
      </c>
    </row>
    <row r="23" customFormat="false" ht="15" hidden="false" customHeight="false" outlineLevel="0" collapsed="false">
      <c r="A23" s="29" t="str">
        <f aca="false">Paytable!A10</f>
        <v>L3</v>
      </c>
      <c r="B23" s="29" t="str">
        <f aca="false">Paytable!B10</f>
        <v>Gomme</v>
      </c>
      <c r="C23" s="36" t="n">
        <f aca="false">Poids!I25</f>
        <v>0.214151105019702</v>
      </c>
      <c r="D23" s="36" t="n">
        <f aca="false">Poids!J25</f>
        <v>0.211972189248771</v>
      </c>
      <c r="E23" s="36" t="n">
        <f aca="false">Poids!K25</f>
        <v>0.209135017567341</v>
      </c>
      <c r="F23" s="36" t="n">
        <f aca="false">Poids!L25</f>
        <v>0.206372791811128</v>
      </c>
      <c r="G23" s="36" t="n">
        <f aca="false">Poids!M25</f>
        <v>0.203682581065667</v>
      </c>
      <c r="H23" s="37" t="n">
        <f aca="false">IF(MODE_GAIN="WAYS",NB_LIGNES^3*C23*D23*E23*(1-F23)^NB_LIGNES,NB_PAYLINES*C23*D23*E23*(1-F23))</f>
        <v>0.150685861789895</v>
      </c>
      <c r="I23" s="37" t="n">
        <f aca="false">IF(MODE_GAIN="WAYS",NB_LIGNES^4*C23*D23*E23*F23*(1-G23)^NB_LIGNES,NB_PAYLINES*C23*D23*E23*F23*(1-G23))</f>
        <v>0.0312028751119265</v>
      </c>
      <c r="J23" s="37" t="n">
        <f aca="false">IF(MODE_GAIN="WAYS",NB_LIGNES^5,NB_PAYLINES)*C23*D23*E23*F23*G23</f>
        <v>0.00798109144463027</v>
      </c>
      <c r="K23" s="30" t="n">
        <f aca="false">Paytable!D10*H23+Paytable!E10*I23+Paytable!F10*J23</f>
        <v>0.0600324254476172</v>
      </c>
      <c r="L23" s="30" t="n">
        <f aca="false">IF($K$24=0,0,K23/$K$24)</f>
        <v>0.240027863891983</v>
      </c>
    </row>
    <row r="24" customFormat="false" ht="15" hidden="false" customHeight="false" outlineLevel="0" collapsed="false">
      <c r="B24" s="31" t="s">
        <v>151</v>
      </c>
      <c r="C24" s="34"/>
      <c r="D24" s="34"/>
      <c r="E24" s="34"/>
      <c r="F24" s="34"/>
      <c r="G24" s="34"/>
      <c r="H24" s="38" t="n">
        <f aca="false">SUM(H17:H23)</f>
        <v>0.445308850696304</v>
      </c>
      <c r="I24" s="38" t="n">
        <f aca="false">SUM(I17:I23)</f>
        <v>0.0800616373931615</v>
      </c>
      <c r="J24" s="38" t="n">
        <f aca="false">SUM(J17:J23)</f>
        <v>0.0180156952173031</v>
      </c>
      <c r="K24" s="33" t="n">
        <f aca="false">SUM(K17:K23)</f>
        <v>0.250106068829713</v>
      </c>
      <c r="L24" s="33" t="n">
        <f aca="false">SUM(L17:L23)</f>
        <v>1</v>
      </c>
    </row>
    <row r="26" customFormat="false" ht="15" hidden="false" customHeight="false" outlineLevel="0" collapsed="false">
      <c r="A26" s="4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1"/>
    <col collapsed="false" customWidth="true" hidden="false" outlineLevel="0" max="7" min="7" style="0" width="3"/>
    <col collapsed="false" customWidth="true" hidden="false" outlineLevel="0" max="8" min="8" style="0" width="46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176</v>
      </c>
    </row>
    <row r="2" customFormat="false" ht="15" hidden="false" customHeight="false" outlineLevel="0" collapsed="false">
      <c r="A2" s="4" t="s">
        <v>177</v>
      </c>
    </row>
    <row r="3" customFormat="false" ht="15" hidden="false" customHeight="false" outlineLevel="0" collapsed="false">
      <c r="A3" s="11" t="s">
        <v>178</v>
      </c>
    </row>
    <row r="4" customFormat="false" ht="15" hidden="false" customHeight="false" outlineLevel="0" collapsed="false">
      <c r="A4" s="5" t="s">
        <v>179</v>
      </c>
      <c r="B4" s="5" t="s">
        <v>137</v>
      </c>
      <c r="C4" s="5" t="s">
        <v>138</v>
      </c>
      <c r="D4" s="5" t="s">
        <v>139</v>
      </c>
      <c r="E4" s="5" t="s">
        <v>140</v>
      </c>
      <c r="F4" s="5" t="s">
        <v>141</v>
      </c>
    </row>
    <row r="5" customFormat="false" ht="15" hidden="false" customHeight="false" outlineLevel="0" collapsed="false">
      <c r="A5" s="6" t="s">
        <v>180</v>
      </c>
      <c r="B5" s="39" t="n">
        <f aca="false">Poids!I12</f>
        <v>0.0154083204930663</v>
      </c>
      <c r="C5" s="39" t="n">
        <f aca="false">Poids!J12</f>
        <v>0.0153295861011753</v>
      </c>
      <c r="D5" s="39" t="n">
        <f aca="false">Poids!K12</f>
        <v>0.0151745068285281</v>
      </c>
      <c r="E5" s="39" t="n">
        <f aca="false">Poids!L12</f>
        <v>0.0149725503244053</v>
      </c>
      <c r="F5" s="39" t="n">
        <f aca="false">Poids!M12</f>
        <v>0.0147758988671811</v>
      </c>
    </row>
    <row r="6" customFormat="false" ht="15" hidden="false" customHeight="false" outlineLevel="0" collapsed="false">
      <c r="A6" s="6" t="s">
        <v>181</v>
      </c>
      <c r="B6" s="39" t="n">
        <f aca="false">Poids!I26</f>
        <v>0.0239849237622066</v>
      </c>
      <c r="C6" s="39" t="n">
        <f aca="false">Poids!J26</f>
        <v>0.0237408851958623</v>
      </c>
      <c r="D6" s="39" t="n">
        <f aca="false">Poids!K26</f>
        <v>0.0234231219675422</v>
      </c>
      <c r="E6" s="39" t="n">
        <f aca="false">Poids!L26</f>
        <v>0.0231137526828463</v>
      </c>
      <c r="F6" s="39" t="n">
        <f aca="false">Poids!M26</f>
        <v>0.0228124490793547</v>
      </c>
    </row>
    <row r="7" customFormat="false" ht="15" hidden="false" customHeight="false" outlineLevel="0" collapsed="false">
      <c r="A7" s="6" t="s">
        <v>182</v>
      </c>
      <c r="B7" s="39" t="n">
        <f aca="false">Poids!I13</f>
        <v>0.00017120356103407</v>
      </c>
      <c r="C7" s="39" t="n">
        <f aca="false">Poids!J13</f>
        <v>0.000170328734457503</v>
      </c>
      <c r="D7" s="39" t="n">
        <f aca="false">Poids!K13</f>
        <v>0.00016860563142809</v>
      </c>
      <c r="E7" s="39" t="n">
        <f aca="false">Poids!L13</f>
        <v>0.00016636167027117</v>
      </c>
      <c r="F7" s="39" t="n">
        <f aca="false">Poids!M13</f>
        <v>0.00016417665407979</v>
      </c>
    </row>
    <row r="8" customFormat="false" ht="15" hidden="false" customHeight="false" outlineLevel="0" collapsed="false">
      <c r="A8" s="6" t="s">
        <v>183</v>
      </c>
      <c r="B8" s="39" t="n">
        <f aca="false">Poids!I27</f>
        <v>0.00119924618811033</v>
      </c>
      <c r="C8" s="39" t="n">
        <f aca="false">Poids!J27</f>
        <v>0.00118704425979312</v>
      </c>
      <c r="D8" s="39" t="n">
        <f aca="false">Poids!K27</f>
        <v>0.00117115609837711</v>
      </c>
      <c r="E8" s="39" t="n">
        <f aca="false">Poids!L27</f>
        <v>0.00115568763414231</v>
      </c>
      <c r="F8" s="39" t="n">
        <f aca="false">Poids!M27</f>
        <v>0.00114062245396774</v>
      </c>
    </row>
    <row r="10" customFormat="false" ht="15" hidden="false" customHeight="false" outlineLevel="0" collapsed="false">
      <c r="A10" s="11" t="s">
        <v>184</v>
      </c>
    </row>
    <row r="11" customFormat="false" ht="15" hidden="false" customHeight="false" outlineLevel="0" collapsed="false">
      <c r="A11" s="5" t="s">
        <v>185</v>
      </c>
      <c r="B11" s="5" t="s">
        <v>137</v>
      </c>
      <c r="C11" s="5" t="s">
        <v>138</v>
      </c>
      <c r="D11" s="5" t="s">
        <v>139</v>
      </c>
      <c r="E11" s="5" t="s">
        <v>140</v>
      </c>
      <c r="F11" s="5" t="s">
        <v>141</v>
      </c>
    </row>
    <row r="12" customFormat="false" ht="15" hidden="false" customHeight="false" outlineLevel="0" collapsed="false">
      <c r="A12" s="40" t="n">
        <v>0</v>
      </c>
      <c r="B12" s="41" t="n">
        <f aca="false">IF($A12&gt;NB_LIGNES,0,BINOMDIST($A12,NB_LIGNES,B$5,FALSE()))</f>
        <v>0.925296260032285</v>
      </c>
      <c r="C12" s="41" t="n">
        <f aca="false">IF($A12&gt;NB_LIGNES,0,BINOMDIST($A12,NB_LIGNES,C$5,FALSE()))</f>
        <v>0.92566628291765</v>
      </c>
      <c r="D12" s="41" t="n">
        <f aca="false">IF($A12&gt;NB_LIGNES,0,BINOMDIST($A12,NB_LIGNES,D$5,FALSE()))</f>
        <v>0.926395445061109</v>
      </c>
      <c r="E12" s="41" t="n">
        <f aca="false">IF($A12&gt;NB_LIGNES,0,BINOMDIST($A12,NB_LIGNES,E$5,FALSE()))</f>
        <v>0.927345706481366</v>
      </c>
      <c r="F12" s="41" t="n">
        <f aca="false">IF($A12&gt;NB_LIGNES,0,BINOMDIST($A12,NB_LIGNES,F$5,FALSE()))</f>
        <v>0.928271755362511</v>
      </c>
    </row>
    <row r="13" customFormat="false" ht="15" hidden="false" customHeight="false" outlineLevel="0" collapsed="false">
      <c r="A13" s="40" t="n">
        <v>1</v>
      </c>
      <c r="B13" s="41" t="n">
        <f aca="false">IF($A13&gt;NB_LIGNES,0,BINOMDIST($A13,NB_LIGNES,B$5,FALSE()))</f>
        <v>0.0724018982810865</v>
      </c>
      <c r="C13" s="41" t="n">
        <f aca="false">IF($A13&gt;NB_LIGNES,0,BINOMDIST($A13,NB_LIGNES,C$5,FALSE()))</f>
        <v>0.0720549779126349</v>
      </c>
      <c r="D13" s="41" t="n">
        <f aca="false">IF($A13&gt;NB_LIGNES,0,BINOMDIST($A13,NB_LIGNES,D$5,FALSE()))</f>
        <v>0.0713709896040916</v>
      </c>
      <c r="E13" s="41" t="n">
        <f aca="false">IF($A13&gt;NB_LIGNES,0,BINOMDIST($A13,NB_LIGNES,E$5,FALSE()))</f>
        <v>0.0704789001716964</v>
      </c>
      <c r="F13" s="41" t="n">
        <f aca="false">IF($A13&gt;NB_LIGNES,0,BINOMDIST($A13,NB_LIGNES,F$5,FALSE()))</f>
        <v>0.0696087801888235</v>
      </c>
    </row>
    <row r="14" customFormat="false" ht="15" hidden="false" customHeight="false" outlineLevel="0" collapsed="false">
      <c r="A14" s="40" t="n">
        <v>2</v>
      </c>
      <c r="B14" s="41" t="n">
        <f aca="false">IF($A14&gt;NB_LIGNES,0,BINOMDIST($A14,NB_LIGNES,B$5,FALSE()))</f>
        <v>0.00226610010269441</v>
      </c>
      <c r="C14" s="41" t="n">
        <f aca="false">IF($A14&gt;NB_LIGNES,0,BINOMDIST($A14,NB_LIGNES,C$5,FALSE()))</f>
        <v>0.00224353849234982</v>
      </c>
      <c r="D14" s="41" t="n">
        <f aca="false">IF($A14&gt;NB_LIGNES,0,BINOMDIST($A14,NB_LIGNES,D$5,FALSE()))</f>
        <v>0.00219941416345429</v>
      </c>
      <c r="E14" s="41" t="n">
        <f aca="false">IF($A14&gt;NB_LIGNES,0,BINOMDIST($A14,NB_LIGNES,E$5,FALSE()))</f>
        <v>0.00214257761035389</v>
      </c>
      <c r="F14" s="41" t="n">
        <f aca="false">IF($A14&gt;NB_LIGNES,0,BINOMDIST($A14,NB_LIGNES,F$5,FALSE()))</f>
        <v>0.00208791541976141</v>
      </c>
    </row>
    <row r="15" customFormat="false" ht="15" hidden="false" customHeight="false" outlineLevel="0" collapsed="false">
      <c r="A15" s="40" t="n">
        <v>3</v>
      </c>
      <c r="B15" s="41" t="n">
        <f aca="false">IF($A15&gt;NB_LIGNES,0,BINOMDIST($A15,NB_LIGNES,B$5,FALSE()))</f>
        <v>3.54632253942788E-005</v>
      </c>
      <c r="C15" s="41" t="n">
        <f aca="false">IF($A15&gt;NB_LIGNES,0,BINOMDIST($A15,NB_LIGNES,C$5,FALSE()))</f>
        <v>3.49279474678228E-005</v>
      </c>
      <c r="D15" s="41" t="n">
        <f aca="false">IF($A15&gt;NB_LIGNES,0,BINOMDIST($A15,NB_LIGNES,D$5,FALSE()))</f>
        <v>3.38892783274929E-005</v>
      </c>
      <c r="E15" s="41" t="n">
        <f aca="false">IF($A15&gt;NB_LIGNES,0,BINOMDIST($A15,NB_LIGNES,E$5,FALSE()))</f>
        <v>3.25674691659939E-005</v>
      </c>
      <c r="F15" s="41" t="n">
        <f aca="false">IF($A15&gt;NB_LIGNES,0,BINOMDIST($A15,NB_LIGNES,F$5,FALSE()))</f>
        <v>3.13135123776916E-005</v>
      </c>
    </row>
    <row r="16" customFormat="false" ht="15" hidden="false" customHeight="false" outlineLevel="0" collapsed="false">
      <c r="A16" s="40" t="n">
        <v>4</v>
      </c>
      <c r="B16" s="41" t="n">
        <f aca="false">IF($A16&gt;NB_LIGNES,0,BINOMDIST($A16,NB_LIGNES,B$5,FALSE()))</f>
        <v>2.77490026559302E-007</v>
      </c>
      <c r="C16" s="41" t="n">
        <f aca="false">IF($A16&gt;NB_LIGNES,0,BINOMDIST($A16,NB_LIGNES,C$5,FALSE()))</f>
        <v>2.71883348218652E-007</v>
      </c>
      <c r="D16" s="41" t="n">
        <f aca="false">IF($A16&gt;NB_LIGNES,0,BINOMDIST($A16,NB_LIGNES,D$5,FALSE()))</f>
        <v>2.61088430874367E-007</v>
      </c>
      <c r="E16" s="41" t="n">
        <f aca="false">IF($A16&gt;NB_LIGNES,0,BINOMDIST($A16,NB_LIGNES,E$5,FALSE()))</f>
        <v>2.47514965794583E-007</v>
      </c>
      <c r="F16" s="41" t="n">
        <f aca="false">IF($A16&gt;NB_LIGNES,0,BINOMDIST($A16,NB_LIGNES,F$5,FALSE()))</f>
        <v>2.34812207464776E-007</v>
      </c>
    </row>
    <row r="17" customFormat="false" ht="15" hidden="false" customHeight="false" outlineLevel="0" collapsed="false">
      <c r="A17" s="40" t="n">
        <v>5</v>
      </c>
      <c r="B17" s="41" t="n">
        <f aca="false">IF($A17&gt;NB_LIGNES,0,BINOMDIST($A17,NB_LIGNES,B$5,FALSE()))</f>
        <v>8.68513385162134E-010</v>
      </c>
      <c r="C17" s="41" t="n">
        <f aca="false">IF($A17&gt;NB_LIGNES,0,BINOMDIST($A17,NB_LIGNES,C$5,FALSE()))</f>
        <v>8.46549086306129E-010</v>
      </c>
      <c r="D17" s="41" t="n">
        <f aca="false">IF($A17&gt;NB_LIGNES,0,BINOMDIST($A17,NB_LIGNES,D$5,FALSE()))</f>
        <v>8.04586843988805E-010</v>
      </c>
      <c r="E17" s="41" t="n">
        <f aca="false">IF($A17&gt;NB_LIGNES,0,BINOMDIST($A17,NB_LIGNES,E$5,FALSE()))</f>
        <v>7.52452184479393E-010</v>
      </c>
      <c r="F17" s="41" t="n">
        <f aca="false">IF($A17&gt;NB_LIGNES,0,BINOMDIST($A17,NB_LIGNES,F$5,FALSE()))</f>
        <v>7.04319235855019E-010</v>
      </c>
    </row>
    <row r="19" customFormat="false" ht="15" hidden="false" customHeight="false" outlineLevel="0" collapsed="false">
      <c r="A19" s="11" t="s">
        <v>186</v>
      </c>
      <c r="H19" s="11" t="s">
        <v>187</v>
      </c>
    </row>
    <row r="20" customFormat="false" ht="15" hidden="false" customHeight="false" outlineLevel="0" collapsed="false">
      <c r="A20" s="5" t="s">
        <v>188</v>
      </c>
      <c r="B20" s="5" t="s">
        <v>137</v>
      </c>
      <c r="C20" s="5" t="s">
        <v>189</v>
      </c>
      <c r="D20" s="5" t="s">
        <v>190</v>
      </c>
      <c r="E20" s="5" t="s">
        <v>191</v>
      </c>
      <c r="F20" s="5" t="s">
        <v>192</v>
      </c>
      <c r="H20" s="5" t="s">
        <v>25</v>
      </c>
      <c r="I20" s="5" t="s">
        <v>26</v>
      </c>
    </row>
    <row r="21" customFormat="false" ht="15" hidden="false" customHeight="false" outlineLevel="0" collapsed="false">
      <c r="A21" s="40" t="n">
        <v>0</v>
      </c>
      <c r="B21" s="41" t="n">
        <f aca="false">B12</f>
        <v>0.925296260032285</v>
      </c>
      <c r="C21" s="41" t="n">
        <f aca="false">C$12*B21</f>
        <v>0.856515549621689</v>
      </c>
      <c r="D21" s="41" t="n">
        <f aca="false">D$12*C21</f>
        <v>0.793472103793545</v>
      </c>
      <c r="E21" s="41" t="n">
        <f aca="false">E$12*D21</f>
        <v>0.73582294866568</v>
      </c>
      <c r="F21" s="41" t="n">
        <f aca="false">F$12*E21</f>
        <v>0.68304366019391</v>
      </c>
      <c r="H21" s="6" t="s">
        <v>193</v>
      </c>
      <c r="I21" s="42" t="n">
        <f aca="false">SUMPRODUCT(--($A$21:$A$46&gt;=SCATTER_MIN),$F$21:$F$46)</f>
        <v>0.0062124527590887</v>
      </c>
    </row>
    <row r="22" customFormat="false" ht="15" hidden="false" customHeight="false" outlineLevel="0" collapsed="false">
      <c r="A22" s="40" t="n">
        <v>1</v>
      </c>
      <c r="B22" s="41" t="n">
        <f aca="false">B13</f>
        <v>0.0724018982810865</v>
      </c>
      <c r="C22" s="41" t="n">
        <f aca="false">C$12*B22+C$13*B21</f>
        <v>0.133692197637305</v>
      </c>
      <c r="D22" s="41" t="n">
        <f aca="false">D$12*C22+D$13*C21</f>
        <v>0.184982205319201</v>
      </c>
      <c r="E22" s="41" t="n">
        <f aca="false">E$12*D22+E$13*D21</f>
        <v>0.227465495070507</v>
      </c>
      <c r="F22" s="41" t="n">
        <f aca="false">F$12*E22+F$13*E21</f>
        <v>0.262369532285063</v>
      </c>
      <c r="H22" s="6" t="s">
        <v>38</v>
      </c>
      <c r="I22" s="40" t="n">
        <f aca="false">IF(I21=0,"-",1/I21)</f>
        <v>160.967018789321</v>
      </c>
    </row>
    <row r="23" customFormat="false" ht="15" hidden="false" customHeight="false" outlineLevel="0" collapsed="false">
      <c r="A23" s="40" t="n">
        <v>2</v>
      </c>
      <c r="B23" s="41" t="n">
        <f aca="false">B14</f>
        <v>0.00226610010269441</v>
      </c>
      <c r="C23" s="41" t="n">
        <f aca="false">C$12*B23+C$13*B22+C$14*B21</f>
        <v>0.00939050741646673</v>
      </c>
      <c r="D23" s="41" t="n">
        <f aca="false">D$12*C23+D$13*C22+D$14*C21</f>
        <v>0.0201249001762044</v>
      </c>
      <c r="E23" s="41" t="n">
        <f aca="false">E$12*D23+E$13*D22+E$14*D21</f>
        <v>0.0334001577180299</v>
      </c>
      <c r="F23" s="41" t="n">
        <f aca="false">F$12*E23+F$13*E22+F$14*E21</f>
        <v>0.0483743547619385</v>
      </c>
      <c r="H23" s="6" t="str">
        <f aca="false">"P(exactement "&amp;Config!A25&amp;" trophées)"</f>
        <v>P(exactement 3 trophées)</v>
      </c>
      <c r="I23" s="42" t="n">
        <f aca="false">SUMPRODUCT(--($A$21:$A$46=Config!$A$25),$F$21:$F$46)</f>
        <v>0.00569820294679901</v>
      </c>
    </row>
    <row r="24" customFormat="false" ht="15" hidden="false" customHeight="false" outlineLevel="0" collapsed="false">
      <c r="A24" s="40" t="n">
        <v>3</v>
      </c>
      <c r="B24" s="41" t="n">
        <f aca="false">B15</f>
        <v>3.54632253942788E-005</v>
      </c>
      <c r="C24" s="41" t="n">
        <f aca="false">C$12*B24+C$13*B23+C$14*B22+C$15*B21</f>
        <v>0.000390866049753853</v>
      </c>
      <c r="D24" s="41" t="n">
        <f aca="false">D$12*C24+D$13*C23+D$14*C22+D$15*C21</f>
        <v>0.00135537754219856</v>
      </c>
      <c r="E24" s="41" t="n">
        <f aca="false">E$12*D24+E$13*D23+E$14*D22+E$15*D21</f>
        <v>0.00309746448460835</v>
      </c>
      <c r="F24" s="41" t="n">
        <f aca="false">F$12*E24+F$13*E23+F$14*E22+F$15*E21</f>
        <v>0.00569820294679901</v>
      </c>
      <c r="H24" s="6" t="str">
        <f aca="false">"P(exactement "&amp;Config!A26&amp;" trophées)"</f>
        <v>P(exactement 4 trophées)</v>
      </c>
      <c r="I24" s="42" t="n">
        <f aca="false">SUMPRODUCT(--($A$21:$A$46=Config!$A$26),$F$21:$F$46)</f>
        <v>0.000481517810045691</v>
      </c>
    </row>
    <row r="25" customFormat="false" ht="15" hidden="false" customHeight="false" outlineLevel="0" collapsed="false">
      <c r="A25" s="40" t="n">
        <v>4</v>
      </c>
      <c r="B25" s="41" t="n">
        <f aca="false">B16</f>
        <v>2.77490026559302E-007</v>
      </c>
      <c r="C25" s="41" t="n">
        <f aca="false">C$12*B25+C$13*B24+C$14*B23+C$15*B22+C$16*B21</f>
        <v>1.06766702368444E-005</v>
      </c>
      <c r="D25" s="41" t="n">
        <f aca="false">D$12*C25+D$13*C24+D$14*C23+D$15*C22+D$16*C21</f>
        <v>6.31952888600212E-005</v>
      </c>
      <c r="E25" s="41" t="n">
        <f aca="false">E$12*D25+E$13*D24+E$14*D23+E$15*D22+E$16*D21</f>
        <v>0.000203469357302525</v>
      </c>
      <c r="F25" s="41" t="n">
        <f aca="false">F$12*E25+F$13*E24+F$14*E23+F$15*E22+F$16*E21</f>
        <v>0.000481517810045691</v>
      </c>
      <c r="H25" s="6" t="str">
        <f aca="false">"P("&amp;Config!A27&amp;" trophées ou plus)"</f>
        <v>P(5 trophées ou plus)</v>
      </c>
      <c r="I25" s="42" t="n">
        <f aca="false">SUMPRODUCT(--($A$21:$A$46&gt;=Config!$A$27),$F$21:$F$46)</f>
        <v>3.27320022440019E-005</v>
      </c>
    </row>
    <row r="26" customFormat="false" ht="15" hidden="false" customHeight="false" outlineLevel="0" collapsed="false">
      <c r="A26" s="40" t="n">
        <v>5</v>
      </c>
      <c r="B26" s="41" t="n">
        <f aca="false">B17</f>
        <v>8.68513385162134E-010</v>
      </c>
      <c r="C26" s="41" t="n">
        <f aca="false">C$12*B26+C$13*B25+C$14*B24+C$15*B23+C$16*B22+C$17*B21</f>
        <v>1.99980007095835E-007</v>
      </c>
      <c r="D26" s="41" t="n">
        <f aca="false">D$12*C26+D$13*C25+D$14*C24+D$15*C23+D$16*C22+D$17*C21</f>
        <v>2.16077356071625E-006</v>
      </c>
      <c r="E26" s="41" t="n">
        <f aca="false">E$12*D26+E$13*D25+E$14*D24+E$15*D23+E$16*D22+E$17*D21</f>
        <v>1.0063520094584E-005</v>
      </c>
      <c r="F26" s="41" t="n">
        <f aca="false">F$12*E26+F$13*E25+F$14*E24+F$15*E23+F$16*E22+F$17*E21</f>
        <v>3.1071985271932E-005</v>
      </c>
      <c r="H26" s="6" t="s">
        <v>194</v>
      </c>
      <c r="I26" s="43" t="n">
        <f aca="false">IF(I21=0,0,(I23*Config!$B$25+I24*Config!$B$26+I25*Config!$B$27)/I21)</f>
        <v>10.1813608368551</v>
      </c>
    </row>
    <row r="27" customFormat="false" ht="15" hidden="false" customHeight="false" outlineLevel="0" collapsed="false">
      <c r="A27" s="40" t="n">
        <v>6</v>
      </c>
      <c r="B27" s="41" t="n">
        <v>0</v>
      </c>
      <c r="C27" s="41" t="n">
        <f aca="false">C$13*B26+C$14*B25+C$15*B24+C$16*B23+C$17*B22</f>
        <v>2.60120458638045E-009</v>
      </c>
      <c r="D27" s="41" t="n">
        <f aca="false">D$12*C27+D$13*C26+D$14*C25+D$15*C24+D$16*C23+D$17*C22</f>
        <v>5.59704230041227E-008</v>
      </c>
      <c r="E27" s="41" t="n">
        <f aca="false">E$12*D27+E$13*D26+E$14*D25+E$15*D24+E$16*D23+E$17*D22</f>
        <v>3.88855307090556E-007</v>
      </c>
      <c r="F27" s="41" t="n">
        <f aca="false">F$12*E27+F$13*E26+F$14*E25+F$15*E24+F$16*E23+F$17*E22</f>
        <v>1.59129503081093E-006</v>
      </c>
      <c r="H27" s="6" t="s">
        <v>195</v>
      </c>
      <c r="I27" s="44" t="n">
        <f aca="false">NB_LIGNES*SUM(B6:F6)</f>
        <v>0.585375663439061</v>
      </c>
    </row>
    <row r="28" customFormat="false" ht="15" hidden="false" customHeight="false" outlineLevel="0" collapsed="false">
      <c r="A28" s="40" t="n">
        <v>7</v>
      </c>
      <c r="B28" s="41" t="n">
        <v>0</v>
      </c>
      <c r="C28" s="41" t="n">
        <f aca="false">C$14*B26+C$15*B25+C$16*B24+C$17*B23</f>
        <v>2.32009257114837E-011</v>
      </c>
      <c r="D28" s="41" t="n">
        <f aca="false">D$12*C28+D$13*C27+D$14*C26+D$15*C25+D$16*C24+D$17*C23</f>
        <v>1.11841336901251E-009</v>
      </c>
      <c r="E28" s="41" t="n">
        <f aca="false">E$12*D28+E$13*D27+E$14*D26+E$15*D25+E$16*D24+E$17*D23</f>
        <v>1.20202446160164E-008</v>
      </c>
      <c r="F28" s="41" t="n">
        <f aca="false">F$12*E28+F$13*E27+F$14*E26+F$15*E25+F$16*E24+F$17*E23</f>
        <v>6.63597630337906E-008</v>
      </c>
      <c r="H28" s="6" t="s">
        <v>196</v>
      </c>
      <c r="I28" s="44" t="n">
        <f aca="false">I27*FS_PAR_TROPHEE</f>
        <v>0.585375663439061</v>
      </c>
    </row>
    <row r="29" customFormat="false" ht="15" hidden="false" customHeight="false" outlineLevel="0" collapsed="false">
      <c r="A29" s="40" t="n">
        <v>8</v>
      </c>
      <c r="B29" s="41" t="n">
        <v>0</v>
      </c>
      <c r="C29" s="41" t="n">
        <f aca="false">C$15*B26+C$16*B25+C$17*B24</f>
        <v>1.35801668465264E-013</v>
      </c>
      <c r="D29" s="41" t="n">
        <f aca="false">D$12*C29+D$13*C28+D$14*C27+D$15*C26+D$16*C25+D$17*C24</f>
        <v>1.73820241650843E-011</v>
      </c>
      <c r="E29" s="41" t="n">
        <f aca="false">E$12*D29+E$13*D28+E$14*D27+E$15*D26+E$16*D25+E$17*D24</f>
        <v>3.01897227701749E-010</v>
      </c>
      <c r="F29" s="41" t="n">
        <f aca="false">F$12*E29+F$13*E28+F$14*E27+F$15*E26+F$16*E25+F$17*E24</f>
        <v>2.29393708032382E-009</v>
      </c>
      <c r="H29" s="6" t="s">
        <v>197</v>
      </c>
      <c r="I29" s="43" t="n">
        <f aca="false">IF(I28&gt;=1,"Infini (μ ≥ 1)",I26/(1-I28))</f>
        <v>24.5556276828887</v>
      </c>
    </row>
    <row r="30" customFormat="false" ht="15" hidden="false" customHeight="false" outlineLevel="0" collapsed="false">
      <c r="A30" s="40" t="n">
        <v>9</v>
      </c>
      <c r="B30" s="41" t="n">
        <v>0</v>
      </c>
      <c r="C30" s="41" t="n">
        <f aca="false">C$16*B26+C$17*B25</f>
        <v>4.71043255573437E-016</v>
      </c>
      <c r="D30" s="41" t="n">
        <f aca="false">D$12*C30+D$13*C29+D$14*C28+D$15*C27+D$16*C26+D$17*C25</f>
        <v>2.10112837293397E-013</v>
      </c>
      <c r="E30" s="41" t="n">
        <f aca="false">E$12*D30+E$13*D29+E$14*D28+E$15*D27+E$16*D26+E$17*D25</f>
        <v>6.22139087953674E-012</v>
      </c>
      <c r="F30" s="41" t="n">
        <f aca="false">F$12*E30+F$13*E29+F$14*E28+F$15*E27+F$16*E26+F$17*E25</f>
        <v>6.65698635005767E-011</v>
      </c>
      <c r="H30" s="6" t="s">
        <v>198</v>
      </c>
      <c r="I30" s="43" t="n">
        <f aca="false">IF(I28&gt;=1,"Infini (μ ≥ 1)",BUY_FS/(1-I28))</f>
        <v>24.1182176689</v>
      </c>
    </row>
    <row r="31" customFormat="false" ht="15" hidden="false" customHeight="false" outlineLevel="0" collapsed="false">
      <c r="A31" s="40" t="n">
        <v>10</v>
      </c>
      <c r="B31" s="41" t="n">
        <v>0</v>
      </c>
      <c r="C31" s="41" t="n">
        <f aca="false">C$17*B26</f>
        <v>7.35239212653647E-019</v>
      </c>
      <c r="D31" s="41" t="n">
        <f aca="false">D$12*C31+D$13*C30+D$14*C29+D$15*C28+D$16*C27+D$17*C26</f>
        <v>1.9592923941008E-015</v>
      </c>
      <c r="E31" s="41" t="n">
        <f aca="false">E$12*D31+E$13*D30+E$14*D29+E$15*D28+E$16*D27+E$17*D26</f>
        <v>1.05771087903994E-013</v>
      </c>
      <c r="F31" s="41" t="n">
        <f aca="false">F$12*E31+F$13*E30+F$14*E29+F$15*E28+F$16*E27+F$17*E26</f>
        <v>1.63637560293124E-012</v>
      </c>
      <c r="H31" s="6" t="s">
        <v>199</v>
      </c>
      <c r="I31" s="44" t="n">
        <f aca="false">NB_LIGNES*SUM(B7:F7)</f>
        <v>0.00420338125635311</v>
      </c>
    </row>
    <row r="32" customFormat="false" ht="15" hidden="false" customHeight="false" outlineLevel="0" collapsed="false">
      <c r="A32" s="40" t="n">
        <v>11</v>
      </c>
      <c r="B32" s="41" t="n">
        <v>0</v>
      </c>
      <c r="C32" s="41" t="n">
        <v>0</v>
      </c>
      <c r="D32" s="41" t="n">
        <f aca="false">D$13*C31+D$14*C30+D$15*C29+D$16*C28+D$17*C27</f>
        <v>1.3841102775637E-017</v>
      </c>
      <c r="E32" s="41" t="n">
        <f aca="false">E$12*D32+E$13*D31+E$14*D30+E$15*D29+E$16*D28+E$17*D27</f>
        <v>1.48613497098567E-015</v>
      </c>
      <c r="F32" s="41" t="n">
        <f aca="false">F$12*E32+F$13*E31+F$14*E30+F$15*E29+F$16*E28+F$17*E27</f>
        <v>3.42817124979432E-014</v>
      </c>
      <c r="H32" s="6" t="s">
        <v>200</v>
      </c>
      <c r="I32" s="45" t="n">
        <f aca="false">1-(1-B7)^NB_LIGNES*(1-C7)^NB_LIGNES*(1-D7)^NB_LIGNES*(1-E7)^NB_LIGNES*(1-F7)^NB_LIGNES</f>
        <v>0.00419491142248873</v>
      </c>
    </row>
    <row r="33" customFormat="false" ht="15" hidden="false" customHeight="false" outlineLevel="0" collapsed="false">
      <c r="A33" s="40" t="n">
        <v>12</v>
      </c>
      <c r="B33" s="41" t="n">
        <v>0</v>
      </c>
      <c r="C33" s="41" t="n">
        <v>0</v>
      </c>
      <c r="D33" s="41" t="n">
        <f aca="false">D$14*C31+D$15*C30+D$16*C29+D$17*C28</f>
        <v>7.17038156557923E-020</v>
      </c>
      <c r="E33" s="41" t="n">
        <f aca="false">E$12*D33+E$13*D32+E$14*D31+E$15*D30+E$16*D29+E$17*D28</f>
        <v>1.72266429913721E-017</v>
      </c>
      <c r="F33" s="41" t="n">
        <f aca="false">F$12*E33+F$13*E32+F$14*E31+F$15*E30+F$16*E29+F$17*E28</f>
        <v>6.14448978334277E-016</v>
      </c>
      <c r="H33" s="6" t="s">
        <v>201</v>
      </c>
      <c r="I33" s="44" t="n">
        <f aca="false">NB_LIGNES*SUM(B8:F8)</f>
        <v>0.0292687831719531</v>
      </c>
    </row>
    <row r="34" customFormat="false" ht="15" hidden="false" customHeight="false" outlineLevel="0" collapsed="false">
      <c r="A34" s="40" t="n">
        <v>13</v>
      </c>
      <c r="B34" s="41" t="n">
        <v>0</v>
      </c>
      <c r="C34" s="41" t="n">
        <v>0</v>
      </c>
      <c r="D34" s="41" t="n">
        <f aca="false">D$15*C31+D$16*C30+D$17*C29</f>
        <v>2.57164906625409E-022</v>
      </c>
      <c r="E34" s="41" t="n">
        <f aca="false">E$12*D34+E$13*D33+E$14*D32+E$15*D31+E$16*D30+E$17*D29</f>
        <v>1.63842132168651E-019</v>
      </c>
      <c r="F34" s="41" t="n">
        <f aca="false">F$12*E34+F$13*E33+F$14*E32+F$15*E31+F$16*E30+F$17*E29</f>
        <v>9.43969457170647E-018</v>
      </c>
      <c r="H34" s="6" t="s">
        <v>202</v>
      </c>
      <c r="I34" s="45" t="n">
        <f aca="false">1-(1-B8)^NB_LIGNES*(1-C8)^NB_LIGNES*(1-D8)^NB_LIGNES*(1-E8)^NB_LIGNES*(1-F8)^NB_LIGNES</f>
        <v>0.0288612581165529</v>
      </c>
    </row>
    <row r="35" customFormat="false" ht="15" hidden="false" customHeight="false" outlineLevel="0" collapsed="false">
      <c r="A35" s="40" t="n">
        <v>14</v>
      </c>
      <c r="B35" s="41" t="n">
        <v>0</v>
      </c>
      <c r="C35" s="41" t="n">
        <v>0</v>
      </c>
      <c r="D35" s="41" t="n">
        <f aca="false">D$16*C31+D$17*C30</f>
        <v>5.70957658733089E-025</v>
      </c>
      <c r="E35" s="41" t="n">
        <f aca="false">E$12*D35+E$13*D34+E$14*D33+E$15*D32+E$16*D31+E$17*D30</f>
        <v>1.2661089061011E-021</v>
      </c>
      <c r="F35" s="41" t="n">
        <f aca="false">F$12*E35+F$13*E34+F$14*E33+F$15*E32+F$16*E31+F$17*E30</f>
        <v>1.24302211348752E-019</v>
      </c>
    </row>
    <row r="36" customFormat="false" ht="15" hidden="false" customHeight="false" outlineLevel="0" collapsed="false">
      <c r="A36" s="40" t="n">
        <v>15</v>
      </c>
      <c r="B36" s="41" t="n">
        <v>0</v>
      </c>
      <c r="C36" s="41" t="n">
        <v>0</v>
      </c>
      <c r="D36" s="41" t="n">
        <f aca="false">D$17*C31</f>
        <v>5.91563797685812E-028</v>
      </c>
      <c r="E36" s="41" t="n">
        <f aca="false">E$12*D36+E$13*D35+E$14*D34+E$15*D33+E$16*D32+E$17*D31</f>
        <v>7.82715055058459E-024</v>
      </c>
      <c r="F36" s="41" t="n">
        <f aca="false">F$12*E36+F$13*E35+F$14*E34+F$15*E33+F$16*E32+F$17*E31</f>
        <v>1.40037247695474E-021</v>
      </c>
      <c r="H36" s="4" t="s">
        <v>203</v>
      </c>
    </row>
    <row r="37" customFormat="false" ht="15" hidden="false" customHeight="false" outlineLevel="0" collapsed="false">
      <c r="A37" s="40" t="n">
        <v>16</v>
      </c>
      <c r="B37" s="41" t="n">
        <v>0</v>
      </c>
      <c r="C37" s="41" t="n">
        <v>0</v>
      </c>
      <c r="D37" s="41" t="n">
        <v>0</v>
      </c>
      <c r="E37" s="41" t="n">
        <f aca="false">E$13*D36+E$14*D35+E$15*D34+E$16*D33+E$17*D32</f>
        <v>3.78027595275189E-026</v>
      </c>
      <c r="F37" s="41" t="n">
        <f aca="false">F$12*E37+F$13*E36+F$14*E35+F$15*E34+F$16*E33+F$17*E32</f>
        <v>1.34456700930746E-023</v>
      </c>
    </row>
    <row r="38" customFormat="false" ht="15" hidden="false" customHeight="false" outlineLevel="0" collapsed="false">
      <c r="A38" s="40" t="n">
        <v>17</v>
      </c>
      <c r="B38" s="41" t="n">
        <v>0</v>
      </c>
      <c r="C38" s="41" t="n">
        <v>0</v>
      </c>
      <c r="D38" s="41" t="n">
        <v>0</v>
      </c>
      <c r="E38" s="41" t="n">
        <f aca="false">E$14*D36+E$15*D35+E$16*D34+E$17*D33</f>
        <v>1.37467973086559E-028</v>
      </c>
      <c r="F38" s="41" t="n">
        <f aca="false">F$12*E38+F$13*E37+F$14*E36+F$15*E35+F$16*E34+F$17*E33</f>
        <v>1.09352945603514E-025</v>
      </c>
    </row>
    <row r="39" customFormat="false" ht="15" hidden="false" customHeight="false" outlineLevel="0" collapsed="false">
      <c r="A39" s="40" t="n">
        <v>18</v>
      </c>
      <c r="B39" s="41" t="n">
        <v>0</v>
      </c>
      <c r="C39" s="41" t="n">
        <v>0</v>
      </c>
      <c r="D39" s="41" t="n">
        <v>0</v>
      </c>
      <c r="E39" s="41" t="n">
        <f aca="false">E$15*D36+E$16*D35+E$17*D34</f>
        <v>3.54090596874055E-031</v>
      </c>
      <c r="F39" s="41" t="n">
        <f aca="false">F$12*E39+F$13*E38+F$14*E37+F$15*E36+F$16*E35+F$17*E34</f>
        <v>7.46617202858622E-028</v>
      </c>
    </row>
    <row r="40" customFormat="false" ht="15" hidden="false" customHeight="false" outlineLevel="0" collapsed="false">
      <c r="A40" s="40" t="n">
        <v>19</v>
      </c>
      <c r="B40" s="41" t="n">
        <v>0</v>
      </c>
      <c r="C40" s="41" t="n">
        <v>0</v>
      </c>
      <c r="D40" s="41" t="n">
        <v>0</v>
      </c>
      <c r="E40" s="41" t="n">
        <f aca="false">E$16*D36+E$17*D35</f>
        <v>5.7603923070847E-034</v>
      </c>
      <c r="F40" s="41" t="n">
        <f aca="false">F$12*E40+F$13*E39+F$14*E38+F$15*E37+F$16*E36+F$17*E35</f>
        <v>4.22559657077549E-030</v>
      </c>
    </row>
    <row r="41" customFormat="false" ht="15" hidden="false" customHeight="false" outlineLevel="0" collapsed="false">
      <c r="A41" s="40" t="n">
        <v>20</v>
      </c>
      <c r="B41" s="41" t="n">
        <v>0</v>
      </c>
      <c r="C41" s="41" t="n">
        <v>0</v>
      </c>
      <c r="D41" s="41" t="n">
        <v>0</v>
      </c>
      <c r="E41" s="41" t="n">
        <f aca="false">E$17*D36</f>
        <v>4.45123471827615E-037</v>
      </c>
      <c r="F41" s="41" t="n">
        <f aca="false">F$12*E41+F$13*E40+F$14*E39+F$15*E38+F$16*E37+F$17*E36</f>
        <v>1.94737889853518E-032</v>
      </c>
    </row>
    <row r="42" customFormat="false" ht="15" hidden="false" customHeight="false" outlineLevel="0" collapsed="false">
      <c r="A42" s="40" t="n">
        <v>21</v>
      </c>
      <c r="B42" s="41" t="n">
        <v>0</v>
      </c>
      <c r="C42" s="41" t="n">
        <v>0</v>
      </c>
      <c r="D42" s="41" t="n">
        <v>0</v>
      </c>
      <c r="E42" s="41" t="n">
        <v>0</v>
      </c>
      <c r="F42" s="41" t="n">
        <f aca="false">F$13*E41+F$14*E40+F$15*E39+F$16*E38+F$17*E37</f>
        <v>7.12258949019275E-035</v>
      </c>
    </row>
    <row r="43" customFormat="false" ht="15" hidden="false" customHeight="false" outlineLevel="0" collapsed="false">
      <c r="A43" s="40" t="n">
        <v>22</v>
      </c>
      <c r="B43" s="41" t="n">
        <v>0</v>
      </c>
      <c r="C43" s="41" t="n">
        <v>0</v>
      </c>
      <c r="D43" s="41" t="n">
        <v>0</v>
      </c>
      <c r="E43" s="41" t="n">
        <v>0</v>
      </c>
      <c r="F43" s="41" t="n">
        <f aca="false">F$14*E41+F$15*E40+F$16*E39+F$17*E38</f>
        <v>1.98933324194733E-037</v>
      </c>
    </row>
    <row r="44" customFormat="false" ht="15" hidden="false" customHeight="false" outlineLevel="0" collapsed="false">
      <c r="A44" s="40" t="n">
        <v>23</v>
      </c>
      <c r="B44" s="41" t="n">
        <v>0</v>
      </c>
      <c r="C44" s="41" t="n">
        <v>0</v>
      </c>
      <c r="D44" s="41" t="n">
        <v>0</v>
      </c>
      <c r="E44" s="41" t="n">
        <v>0</v>
      </c>
      <c r="F44" s="41" t="n">
        <f aca="false">F$15*E41+F$16*E40+F$17*E39</f>
        <v>3.98592241307424E-040</v>
      </c>
    </row>
    <row r="45" customFormat="false" ht="15" hidden="false" customHeight="false" outlineLevel="0" collapsed="false">
      <c r="A45" s="40" t="n">
        <v>24</v>
      </c>
      <c r="B45" s="41" t="n">
        <v>0</v>
      </c>
      <c r="C45" s="41" t="n">
        <v>0</v>
      </c>
      <c r="D45" s="41" t="n">
        <v>0</v>
      </c>
      <c r="E45" s="41" t="n">
        <v>0</v>
      </c>
      <c r="F45" s="41" t="n">
        <f aca="false">F$16*E41+F$17*E40</f>
        <v>5.1023593580933E-043</v>
      </c>
    </row>
    <row r="46" customFormat="false" ht="15" hidden="false" customHeight="false" outlineLevel="0" collapsed="false">
      <c r="A46" s="40" t="n">
        <v>25</v>
      </c>
      <c r="B46" s="41" t="n">
        <v>0</v>
      </c>
      <c r="C46" s="41" t="n">
        <v>0</v>
      </c>
      <c r="D46" s="41" t="n">
        <v>0</v>
      </c>
      <c r="E46" s="41" t="n">
        <v>0</v>
      </c>
      <c r="F46" s="41" t="n">
        <f aca="false">F$17*E41</f>
        <v>3.13509023538759E-046</v>
      </c>
    </row>
    <row r="47" customFormat="false" ht="15" hidden="false" customHeight="false" outlineLevel="0" collapsed="false">
      <c r="A47" s="31" t="s">
        <v>151</v>
      </c>
      <c r="B47" s="33" t="n">
        <f aca="false">SUM(B21:B46)</f>
        <v>1</v>
      </c>
      <c r="C47" s="33" t="n">
        <f aca="false">SUM(C21:C46)</f>
        <v>1</v>
      </c>
      <c r="D47" s="33" t="n">
        <f aca="false">SUM(D21:D46)</f>
        <v>1</v>
      </c>
      <c r="E47" s="33" t="n">
        <f aca="false">SUM(E21:E46)</f>
        <v>1</v>
      </c>
      <c r="F47" s="33" t="n">
        <f aca="false">SUM(F21:F46)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3"/>
    <col collapsed="false" customWidth="true" hidden="false" outlineLevel="0" max="6" min="6" style="0" width="22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204</v>
      </c>
    </row>
    <row r="2" customFormat="false" ht="15" hidden="false" customHeight="false" outlineLevel="0" collapsed="false">
      <c r="A2" s="4" t="s">
        <v>205</v>
      </c>
    </row>
    <row r="4" customFormat="false" ht="15" hidden="false" customHeight="false" outlineLevel="0" collapsed="false">
      <c r="A4" s="5" t="s">
        <v>25</v>
      </c>
      <c r="B4" s="5" t="s">
        <v>26</v>
      </c>
      <c r="F4" s="46" t="s">
        <v>206</v>
      </c>
      <c r="G4" s="46" t="s">
        <v>207</v>
      </c>
    </row>
    <row r="5" customFormat="false" ht="15" hidden="false" customHeight="false" outlineLevel="0" collapsed="false">
      <c r="A5" s="6" t="s">
        <v>208</v>
      </c>
      <c r="B5" s="6" t="s">
        <v>209</v>
      </c>
      <c r="F5" s="6" t="s">
        <v>210</v>
      </c>
      <c r="G5" s="47" t="n">
        <v>0.597609</v>
      </c>
    </row>
    <row r="6" customFormat="false" ht="15" hidden="false" customHeight="false" outlineLevel="0" collapsed="false">
      <c r="A6" s="6" t="s">
        <v>94</v>
      </c>
      <c r="B6" s="22" t="n">
        <v>2000000</v>
      </c>
      <c r="F6" s="6" t="s">
        <v>211</v>
      </c>
      <c r="G6" s="47" t="n">
        <v>0.3166115</v>
      </c>
    </row>
    <row r="7" customFormat="false" ht="15" hidden="false" customHeight="false" outlineLevel="0" collapsed="false">
      <c r="A7" s="6" t="s">
        <v>212</v>
      </c>
      <c r="B7" s="22" t="n">
        <v>100000</v>
      </c>
      <c r="F7" s="6" t="s">
        <v>213</v>
      </c>
      <c r="G7" s="47" t="n">
        <v>0.0769695</v>
      </c>
    </row>
    <row r="8" customFormat="false" ht="15" hidden="false" customHeight="false" outlineLevel="0" collapsed="false">
      <c r="A8" s="6" t="s">
        <v>214</v>
      </c>
      <c r="B8" s="30" t="n">
        <v>0.52667235</v>
      </c>
      <c r="F8" s="6" t="s">
        <v>215</v>
      </c>
      <c r="G8" s="47" t="n">
        <v>0.003793</v>
      </c>
    </row>
    <row r="9" customFormat="false" ht="15" hidden="false" customHeight="false" outlineLevel="0" collapsed="false">
      <c r="A9" s="6" t="s">
        <v>51</v>
      </c>
      <c r="B9" s="30" t="n">
        <v>0.424045725</v>
      </c>
      <c r="F9" s="6" t="s">
        <v>216</v>
      </c>
      <c r="G9" s="47" t="n">
        <v>0.0026655</v>
      </c>
    </row>
    <row r="10" customFormat="false" ht="15" hidden="false" customHeight="false" outlineLevel="0" collapsed="false">
      <c r="A10" s="6" t="s">
        <v>52</v>
      </c>
      <c r="B10" s="30" t="n">
        <v>0.950718075</v>
      </c>
      <c r="F10" s="6" t="s">
        <v>217</v>
      </c>
      <c r="G10" s="47" t="n">
        <v>0.002339</v>
      </c>
    </row>
    <row r="11" customFormat="false" ht="15" hidden="false" customHeight="false" outlineLevel="0" collapsed="false">
      <c r="A11" s="6" t="s">
        <v>218</v>
      </c>
      <c r="B11" s="47" t="n">
        <v>0.0186439732835432</v>
      </c>
      <c r="F11" s="6" t="s">
        <v>219</v>
      </c>
      <c r="G11" s="47" t="n">
        <v>1.25E-005</v>
      </c>
    </row>
    <row r="12" customFormat="false" ht="15" hidden="false" customHeight="false" outlineLevel="0" collapsed="false">
      <c r="A12" s="6" t="s">
        <v>57</v>
      </c>
      <c r="B12" s="30" t="n">
        <v>0.402391</v>
      </c>
      <c r="F12" s="6" t="s">
        <v>220</v>
      </c>
      <c r="G12" s="47" t="n">
        <v>0</v>
      </c>
    </row>
    <row r="13" customFormat="false" ht="15" hidden="false" customHeight="false" outlineLevel="0" collapsed="false">
      <c r="A13" s="6" t="s">
        <v>221</v>
      </c>
      <c r="B13" s="48" t="n">
        <v>13.4523264663819</v>
      </c>
      <c r="F13" s="6"/>
      <c r="G13" s="47"/>
    </row>
    <row r="14" customFormat="false" ht="15" hidden="false" customHeight="false" outlineLevel="0" collapsed="false">
      <c r="A14" s="6" t="s">
        <v>38</v>
      </c>
      <c r="B14" s="22" t="n">
        <v>161.394448030988</v>
      </c>
      <c r="F14" s="6"/>
      <c r="G14" s="47"/>
    </row>
    <row r="15" customFormat="false" ht="15" hidden="false" customHeight="false" outlineLevel="0" collapsed="false">
      <c r="A15" s="6" t="s">
        <v>40</v>
      </c>
      <c r="B15" s="48" t="n">
        <v>24.5331665590704</v>
      </c>
    </row>
    <row r="16" customFormat="false" ht="15" hidden="false" customHeight="false" outlineLevel="0" collapsed="false">
      <c r="A16" s="6" t="s">
        <v>60</v>
      </c>
      <c r="B16" s="26" t="n">
        <v>68.438625726275</v>
      </c>
    </row>
    <row r="17" customFormat="false" ht="15" hidden="false" customHeight="false" outlineLevel="0" collapsed="false">
      <c r="A17" s="6" t="s">
        <v>61</v>
      </c>
      <c r="B17" s="26" t="n">
        <v>69.285536</v>
      </c>
    </row>
    <row r="18" customFormat="false" ht="15" hidden="false" customHeight="false" outlineLevel="0" collapsed="false">
      <c r="A18" s="6" t="s">
        <v>222</v>
      </c>
      <c r="B18" s="30" t="n">
        <v>0.962299111111111</v>
      </c>
    </row>
    <row r="19" customFormat="false" ht="15" hidden="false" customHeight="false" outlineLevel="0" collapsed="false">
      <c r="A19" s="6" t="s">
        <v>223</v>
      </c>
      <c r="B19" s="26" t="n">
        <v>4475.7</v>
      </c>
    </row>
    <row r="20" customFormat="false" ht="15" hidden="false" customHeight="false" outlineLevel="0" collapsed="false">
      <c r="A20" s="6" t="s">
        <v>224</v>
      </c>
      <c r="B20" s="26" t="n">
        <v>5000</v>
      </c>
    </row>
    <row r="21" customFormat="false" ht="15" hidden="false" customHeight="false" outlineLevel="0" collapsed="false">
      <c r="A21" s="6" t="s">
        <v>44</v>
      </c>
      <c r="B21" s="30" t="n">
        <v>0.004152</v>
      </c>
    </row>
    <row r="22" customFormat="false" ht="15" hidden="false" customHeight="false" outlineLevel="0" collapsed="false">
      <c r="A22" s="6" t="s">
        <v>225</v>
      </c>
      <c r="B22" s="30" t="n">
        <v>0.2591201</v>
      </c>
    </row>
    <row r="25" customFormat="false" ht="15" hidden="false" customHeight="false" outlineLevel="0" collapsed="false">
      <c r="A25" s="11" t="s">
        <v>226</v>
      </c>
    </row>
    <row r="26" customFormat="false" ht="15" hidden="false" customHeight="false" outlineLevel="0" collapsed="false">
      <c r="A26" s="5" t="s">
        <v>105</v>
      </c>
      <c r="B26" s="5" t="s">
        <v>106</v>
      </c>
      <c r="C26" s="5" t="s">
        <v>227</v>
      </c>
      <c r="D26" s="5" t="s">
        <v>228</v>
      </c>
    </row>
    <row r="27" customFormat="false" ht="15" hidden="false" customHeight="false" outlineLevel="0" collapsed="false">
      <c r="A27" s="6" t="s">
        <v>111</v>
      </c>
      <c r="B27" s="6" t="s">
        <v>112</v>
      </c>
      <c r="C27" s="30" t="n">
        <v>0.092497</v>
      </c>
      <c r="D27" s="30" t="n">
        <v>0.139397</v>
      </c>
    </row>
    <row r="28" customFormat="false" ht="15" hidden="false" customHeight="false" outlineLevel="0" collapsed="false">
      <c r="A28" s="6" t="s">
        <v>114</v>
      </c>
      <c r="B28" s="6" t="s">
        <v>115</v>
      </c>
      <c r="C28" s="30" t="n">
        <v>0.05200775</v>
      </c>
      <c r="D28" s="30" t="n">
        <v>0.06428875</v>
      </c>
    </row>
    <row r="29" customFormat="false" ht="15" hidden="false" customHeight="false" outlineLevel="0" collapsed="false">
      <c r="A29" s="6" t="s">
        <v>116</v>
      </c>
      <c r="B29" s="6" t="s">
        <v>117</v>
      </c>
      <c r="C29" s="30" t="n">
        <v>0.0607289500000015</v>
      </c>
      <c r="D29" s="30" t="n">
        <v>0.0596361</v>
      </c>
    </row>
    <row r="30" customFormat="false" ht="15" hidden="false" customHeight="false" outlineLevel="0" collapsed="false">
      <c r="A30" s="6" t="s">
        <v>118</v>
      </c>
      <c r="B30" s="6" t="s">
        <v>119</v>
      </c>
      <c r="C30" s="30" t="n">
        <v>0.0639165000000017</v>
      </c>
      <c r="D30" s="30" t="n">
        <v>0.0455474</v>
      </c>
    </row>
    <row r="31" customFormat="false" ht="15" hidden="false" customHeight="false" outlineLevel="0" collapsed="false">
      <c r="A31" s="6" t="s">
        <v>120</v>
      </c>
      <c r="B31" s="6" t="s">
        <v>121</v>
      </c>
      <c r="C31" s="30" t="n">
        <v>0.08221105000001</v>
      </c>
      <c r="D31" s="30" t="n">
        <v>0.04133085</v>
      </c>
    </row>
    <row r="32" customFormat="false" ht="15" hidden="false" customHeight="false" outlineLevel="0" collapsed="false">
      <c r="A32" s="6" t="s">
        <v>122</v>
      </c>
      <c r="B32" s="6" t="s">
        <v>123</v>
      </c>
      <c r="C32" s="30" t="n">
        <v>0.0868599999999976</v>
      </c>
      <c r="D32" s="30" t="n">
        <v>0.039511125</v>
      </c>
    </row>
    <row r="33" customFormat="false" ht="15" hidden="false" customHeight="false" outlineLevel="0" collapsed="false">
      <c r="A33" s="6" t="s">
        <v>124</v>
      </c>
      <c r="B33" s="6" t="s">
        <v>125</v>
      </c>
      <c r="C33" s="30" t="n">
        <v>0.0884510999999943</v>
      </c>
      <c r="D33" s="30" t="n">
        <v>0.0343345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2026-10-09T18:23:42Z</dcterms:created>
  <dc:creator>openpyxl</dc:creator>
  <dc:description/>
  <dc:language>en-US</dc:language>
  <cp:lastModifiedBy/>
  <dcterms:modified xsi:type="dcterms:W3CDTF">2026-10-09T18:25:50Z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